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图表" sheetId="1" r:id="rId1"/>
    <sheet name="弹性" sheetId="2" r:id="rId2"/>
    <sheet name="价格数据库" sheetId="3" r:id="rId3"/>
  </sheets>
  <definedNames>
    <definedName name="_xlnm._FilterDatabase" localSheetId="1" hidden="1">弹性!$B$17:$U$17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<sst xmlns="http://schemas.openxmlformats.org/spreadsheetml/2006/main" count="228" uniqueCount="73">
  <si>
    <t>持仓情况</t>
  </si>
  <si>
    <t>入手价格</t>
  </si>
  <si>
    <t>入手时间</t>
  </si>
  <si>
    <t>持仓天数</t>
  </si>
  <si>
    <t>目前价格</t>
  </si>
  <si>
    <t>盈亏</t>
  </si>
  <si>
    <t>电棍</t>
  </si>
  <si>
    <t>龙骑</t>
  </si>
  <si>
    <t>斧王</t>
  </si>
  <si>
    <t>海民</t>
  </si>
  <si>
    <t>先知</t>
  </si>
  <si>
    <t>仓位</t>
  </si>
  <si>
    <t>目前市场价</t>
  </si>
  <si>
    <t>总盈亏</t>
  </si>
  <si>
    <t>收益</t>
  </si>
  <si>
    <t>月收益</t>
  </si>
  <si>
    <t>英雄</t>
  </si>
  <si>
    <t>部位</t>
  </si>
  <si>
    <t>目前数量</t>
  </si>
  <si>
    <t>上期价格</t>
  </si>
  <si>
    <t>上期数量</t>
  </si>
  <si>
    <t>最低价格</t>
  </si>
  <si>
    <t>最低数量</t>
  </si>
  <si>
    <t>最高价格</t>
  </si>
  <si>
    <t>最高数量</t>
  </si>
  <si>
    <t>波动</t>
  </si>
  <si>
    <t>价格同比</t>
  </si>
  <si>
    <t>数量同比</t>
  </si>
  <si>
    <t>同比弹性</t>
  </si>
  <si>
    <t>同比评价</t>
  </si>
  <si>
    <t>价格环比</t>
  </si>
  <si>
    <t>数量环比</t>
  </si>
  <si>
    <t>环比弹性</t>
  </si>
  <si>
    <t>环比评价</t>
  </si>
  <si>
    <t>最低</t>
  </si>
  <si>
    <t>头</t>
  </si>
  <si>
    <t>火女</t>
  </si>
  <si>
    <t>小Y</t>
  </si>
  <si>
    <t>武器</t>
  </si>
  <si>
    <t>CK</t>
  </si>
  <si>
    <t>坐骑</t>
  </si>
  <si>
    <t>尸王</t>
  </si>
  <si>
    <t>召唤</t>
  </si>
  <si>
    <t>DK</t>
  </si>
  <si>
    <t>小黑</t>
  </si>
  <si>
    <t>副手</t>
  </si>
  <si>
    <t>酒仙</t>
  </si>
  <si>
    <t>冰女</t>
  </si>
  <si>
    <t>列2</t>
  </si>
  <si>
    <t>列3</t>
  </si>
  <si>
    <t>蓝猫</t>
  </si>
  <si>
    <t>小鱼</t>
  </si>
  <si>
    <t>潮汐</t>
  </si>
  <si>
    <t>小小</t>
  </si>
  <si>
    <t>小牛</t>
  </si>
  <si>
    <t>女王</t>
  </si>
  <si>
    <t>剧毒</t>
  </si>
  <si>
    <t>小鹿</t>
  </si>
  <si>
    <t>天怒</t>
  </si>
  <si>
    <t>衣服</t>
  </si>
  <si>
    <t>背</t>
  </si>
  <si>
    <t>拉比克</t>
  </si>
  <si>
    <t>火猫</t>
  </si>
  <si>
    <t>谜团</t>
  </si>
  <si>
    <t>屠夫</t>
  </si>
  <si>
    <t>面具</t>
  </si>
  <si>
    <t>大牛</t>
  </si>
  <si>
    <t>背部</t>
  </si>
  <si>
    <t>斯温</t>
  </si>
  <si>
    <t>水人</t>
  </si>
  <si>
    <t>拍拍</t>
  </si>
  <si>
    <t>价格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</si>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</sst>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_ "/>
    <numFmt numFmtId="178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3">
      <alignment vertical="center"/>
    </xf>
    <xf numFmtId="0" fontId="7" fillId="0" borderId="13">
      <alignment vertical="center"/>
    </xf>
    <xf numFmtId="0" fontId="8" fillId="0" borderId="14">
      <alignment vertical="center"/>
    </xf>
    <xf numFmtId="0" fontId="8" fillId="0" borderId="0">
      <alignment vertical="center"/>
    </xf>
    <xf numFmtId="0" fontId="9" fillId="4" borderId="15">
      <alignment vertical="center"/>
    </xf>
    <xf numFmtId="0" fontId="10" fillId="5" borderId="16">
      <alignment vertical="center"/>
    </xf>
    <xf numFmtId="0" fontId="11" fillId="5" borderId="15">
      <alignment vertical="center"/>
    </xf>
    <xf numFmtId="0" fontId="12" fillId="6" borderId="17">
      <alignment vertical="center"/>
    </xf>
    <xf numFmtId="0" fontId="13" fillId="0" borderId="18">
      <alignment vertical="center"/>
    </xf>
    <xf numFmtId="0" fontId="14" fillId="0" borderId="1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2" borderId="1" xfId="0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</xf>
    <xf numFmtId="0" fontId="0" fillId="2" borderId="2" xfId="0" applyNumberFormat="1" applyFill="1" applyBorder="1" applyAlignment="1" applyProtection="1">
      <alignment horizontal="center" vertical="center"/>
    </xf>
    <xf numFmtId="176" fontId="0" fillId="2" borderId="2" xfId="0" applyNumberForma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vertical="center"/>
    </xf>
    <xf numFmtId="176" fontId="0" fillId="2" borderId="2" xfId="0" applyNumberFormat="1" applyFill="1" applyBorder="1" applyAlignment="1" applyProtection="1">
      <alignment vertical="center"/>
    </xf>
    <xf numFmtId="0" fontId="0" fillId="2" borderId="2" xfId="0" applyNumberFormat="1" applyFill="1" applyBorder="1" applyAlignment="1" applyProtection="1">
      <alignment vertical="center"/>
    </xf>
    <xf numFmtId="0" fontId="0" fillId="2" borderId="3" xfId="0" applyFill="1" applyBorder="1" applyAlignment="1" applyProtection="1">
      <alignment vertical="center"/>
    </xf>
    <xf numFmtId="0" fontId="0" fillId="0" borderId="4" xfId="0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0" xfId="0" applyNumberFormat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</xf>
    <xf numFmtId="176" fontId="0" fillId="0" borderId="0" xfId="0" applyNumberFormat="1" applyBorder="1" applyAlignment="1" applyProtection="1">
      <alignment horizontal="center" vertical="center"/>
    </xf>
    <xf numFmtId="177" fontId="0" fillId="0" borderId="0" xfId="0" applyNumberFormat="1" applyBorder="1" applyAlignment="1" applyProtection="1">
      <alignment horizontal="center" vertical="center"/>
    </xf>
    <xf numFmtId="176" fontId="0" fillId="0" borderId="0" xfId="0" applyNumberFormat="1" applyBorder="1" applyAlignment="1" applyProtection="1">
      <alignment vertical="center" wrapText="1"/>
    </xf>
    <xf numFmtId="177" fontId="0" fillId="0" borderId="0" xfId="0" applyNumberFormat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5" xfId="0" applyNumberFormat="1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7" xfId="0" applyNumberFormat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176" fontId="0" fillId="0" borderId="7" xfId="0" applyNumberFormat="1" applyBorder="1" applyAlignment="1" applyProtection="1">
      <alignment horizontal="center" vertical="center"/>
    </xf>
    <xf numFmtId="177" fontId="0" fillId="0" borderId="7" xfId="0" applyNumberFormat="1" applyBorder="1" applyAlignment="1" applyProtection="1">
      <alignment horizontal="center" vertical="center"/>
    </xf>
    <xf numFmtId="176" fontId="0" fillId="0" borderId="7" xfId="0" applyNumberFormat="1" applyBorder="1" applyAlignment="1" applyProtection="1">
      <alignment vertical="center" wrapText="1"/>
    </xf>
    <xf numFmtId="177" fontId="0" fillId="0" borderId="7" xfId="0" applyNumberFormat="1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8" xfId="0" applyNumberForma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176" fontId="0" fillId="0" borderId="0" xfId="0" applyNumberFormat="1" applyAlignment="1" applyProtection="1">
      <alignment vertical="center"/>
    </xf>
    <xf numFmtId="177" fontId="0" fillId="0" borderId="0" xfId="0" applyNumberFormat="1" applyAlignment="1" applyProtection="1">
      <alignment vertical="center"/>
    </xf>
    <xf numFmtId="0" fontId="0" fillId="2" borderId="9" xfId="0" applyFill="1" applyBorder="1" applyAlignment="1" applyProtection="1">
      <alignment horizontal="center" vertical="center"/>
    </xf>
    <xf numFmtId="0" fontId="0" fillId="2" borderId="10" xfId="0" applyFill="1" applyBorder="1" applyAlignment="1" applyProtection="1">
      <alignment horizontal="center" vertical="center"/>
    </xf>
    <xf numFmtId="0" fontId="0" fillId="2" borderId="10" xfId="0" applyNumberFormat="1" applyFill="1" applyBorder="1" applyAlignment="1" applyProtection="1">
      <alignment horizontal="center" vertical="center"/>
    </xf>
    <xf numFmtId="176" fontId="0" fillId="2" borderId="10" xfId="0" applyNumberFormat="1" applyFill="1" applyBorder="1" applyAlignment="1" applyProtection="1">
      <alignment horizontal="center" vertical="center"/>
    </xf>
    <xf numFmtId="0" fontId="0" fillId="2" borderId="10" xfId="0" applyFill="1" applyBorder="1" applyAlignment="1" applyProtection="1">
      <alignment vertical="center"/>
    </xf>
    <xf numFmtId="176" fontId="0" fillId="2" borderId="10" xfId="0" applyNumberFormat="1" applyFill="1" applyBorder="1" applyAlignment="1" applyProtection="1">
      <alignment vertical="center"/>
    </xf>
    <xf numFmtId="0" fontId="0" fillId="2" borderId="10" xfId="0" applyNumberFormat="1" applyFill="1" applyBorder="1" applyAlignment="1" applyProtection="1">
      <alignment vertical="center"/>
    </xf>
    <xf numFmtId="0" fontId="0" fillId="2" borderId="11" xfId="0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center" vertical="center"/>
    </xf>
    <xf numFmtId="14" fontId="0" fillId="0" borderId="0" xfId="0" applyNumberFormat="1" applyAlignment="1" applyProtection="1">
      <alignment horizontal="center" vertical="center"/>
    </xf>
    <xf numFmtId="176" fontId="0" fillId="0" borderId="0" xfId="0" applyNumberFormat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</xf>
    <xf numFmtId="10" fontId="0" fillId="0" borderId="0" xfId="0" applyNumberFormat="1" applyAlignment="1" applyProtection="1">
      <alignment horizontal="center" vertical="center"/>
    </xf>
    <xf numFmtId="0" fontId="0" fillId="0" borderId="0" xfId="0" applyAlignment="1" applyProtection="1">
      <alignment horizontal="center" vertical="center" wrapText="1"/>
    </xf>
    <xf numFmtId="178" fontId="0" fillId="0" borderId="0" xfId="0" applyNumberFormat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 wrapText="1"/>
    </xf>
    <xf numFmtId="177" fontId="0" fillId="0" borderId="0" xfId="0" applyNumberFormat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  <xf numFmtId="176" fontId="0" fillId="0" borderId="0" xfId="0" applyNumberFormat="1" applyFill="1" applyAlignment="1" applyProtection="1">
      <alignment horizontal="center" vertical="center"/>
    </xf>
    <xf numFmtId="10" fontId="0" fillId="0" borderId="0" xfId="0" applyNumberFormat="1" applyFill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1">
    <dxf>
      <fill>
        <patternFill patternType="solid">
          <bgColor theme="7" tint="0.8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0" formatCode="General"/>
      <alignment vertical="center"/>
    </dxf>
    <dxf/>
    <dxf/>
    <dxf/>
    <dxf/>
    <dxf/>
    <dxf/>
    <dxf/>
    <dxf/>
    <dxf/>
    <dxf/>
    <dxf/>
    <dxf/>
    <dxf/>
    <dxf/>
    <dxf/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2:U15" totalsRowShown="0">
  <autoFilter xmlns:etc="http://www.wps.cn/officeDocument/2017/etCustomData" ref="B2:U15" etc:filterBottomFollowUsedRange="0"/>
  <sortState ref="B2:U15">
    <sortCondition ref="M2" descending="1"/>
  </sortState>
  <tableColumns count="20">
    <tableColumn id="1" name="英雄" dataDxfId="1"/>
    <tableColumn id="2" name="部位" dataDxfId="2"/>
    <tableColumn id="4" name="目前价格" dataDxfId="3">
      <calculatedColumnFormula array="1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calculatedColumnFormula>
    </tableColumn>
    <tableColumn id="5" name="目前数量" dataDxfId="4">
      <calculatedColumnFormula array="1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calculatedColumnFormula>
    </tableColumn>
    <tableColumn id="6" name="上期价格" dataDxfId="5">
      <calculatedColumnFormula array="1">_xlfn.LET(_xlpm.key,$B3&amp;"|"&amp;$C3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calculatedColumnFormula>
    </tableColumn>
    <tableColumn id="7" name="上期数量" dataDxfId="6">
      <calculatedColumnFormula array="1">_xlfn.LET(_xlpm.key,$B3&amp;"|"&amp;$C3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calculatedColumnFormula>
    </tableColumn>
    <tableColumn id="8" name="最低价格" dataDxfId="7">
      <calculatedColumnFormula array="1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calculatedColumnFormula>
    </tableColumn>
    <tableColumn id="9" name="最低数量" dataDxfId="8">
      <calculatedColumnFormula array="1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calculatedColumnFormula>
    </tableColumn>
    <tableColumn id="20" name="最高价格" dataDxfId="9">
      <calculatedColumnFormula array="1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calculatedColumnFormula>
    </tableColumn>
    <tableColumn id="3" name="最高数量" dataDxfId="10">
      <calculatedColumnFormula array="1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calculatedColumnFormula>
    </tableColumn>
    <tableColumn id="10" name="波动" dataDxfId="11">
      <calculatedColumnFormula>J3-H3</calculatedColumnFormula>
    </tableColumn>
    <tableColumn id="11" name="价格同比" dataDxfId="12">
      <calculatedColumnFormula>(D3-H3)/H3</calculatedColumnFormula>
    </tableColumn>
    <tableColumn id="12" name="数量同比" dataDxfId="13">
      <calculatedColumnFormula>(E3-I3)/I3</calculatedColumnFormula>
    </tableColumn>
    <tableColumn id="13" name="同比弹性" dataDxfId="14">
      <calculatedColumnFormula>IFERROR(N3/M3,"")</calculatedColumnFormula>
    </tableColumn>
    <tableColumn id="14" name="同比评价" dataDxfId="15">
      <calculatedColumnFormula>IF(O3="","",IF(O3&gt;0,"只卖不买",IF(O3&gt;-0.3,"只卖不买",IF(O3&gt;=-1.5,"交易区",IF(O3&gt;=-2.5,"谨慎","危险盘")))))</calculatedColumnFormula>
    </tableColumn>
    <tableColumn id="15" name="价格环比" dataDxfId="16">
      <calculatedColumnFormula>(D3-F3)/F3</calculatedColumnFormula>
    </tableColumn>
    <tableColumn id="16" name="数量环比" dataDxfId="17">
      <calculatedColumnFormula>(E3-G3)/G3</calculatedColumnFormula>
    </tableColumn>
    <tableColumn id="17" name="环比弹性" dataDxfId="18">
      <calculatedColumnFormula>IFERROR(R3/Q3,"")</calculatedColumnFormula>
    </tableColumn>
    <tableColumn id="18" name="环比评价" dataDxfId="19">
      <calculatedColumnFormula>IF(S3="","",IF(S3&gt;0,"只卖不买",IF(S3&gt;-0.3,"只卖不买",IF(S3&gt;=-1.5,"交易区",IF(S3&gt;=-2.5,"谨慎","危险盘")))))</calculatedColumnFormula>
    </tableColumn>
    <tableColumn id="19" name="最低" dataDxfId="20">
      <calculatedColumnFormula>IF(D3=H3,"历史最低","")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B17:U38" totalsRowShown="0">
  <autoFilter xmlns:etc="http://www.wps.cn/officeDocument/2017/etCustomData" ref="B17:U38" etc:filterBottomFollowUsedRange="0"/>
  <sortState ref="B17:U38">
    <sortCondition ref="K17" descending="1"/>
  </sortState>
  <tableColumns count="20">
    <tableColumn id="1" name="英雄" dataDxfId="21"/>
    <tableColumn id="2" name="部位" dataDxfId="22"/>
    <tableColumn id="4" name="目前价格" dataDxfId="23">
      <calculatedColumnFormula array="1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calculatedColumnFormula>
    </tableColumn>
    <tableColumn id="5" name="目前数量" dataDxfId="24">
      <calculatedColumnFormula array="1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calculatedColumnFormula>
    </tableColumn>
    <tableColumn id="6" name="上期价格" dataDxfId="25">
      <calculatedColumnFormula array="1">_xlfn.LET(_xlpm.key,$B18&amp;"|"&amp;$C18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calculatedColumnFormula>
    </tableColumn>
    <tableColumn id="7" name="上期数量" dataDxfId="26">
      <calculatedColumnFormula array="1">_xlfn.LET(_xlpm.key,$B18&amp;"|"&amp;$C18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calculatedColumnFormula>
    </tableColumn>
    <tableColumn id="8" name="最低价格" dataDxfId="27">
      <calculatedColumnFormula array="1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calculatedColumnFormula>
    </tableColumn>
    <tableColumn id="9" name="最低数量" dataDxfId="28">
      <calculatedColumnFormula array="1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calculatedColumnFormula>
    </tableColumn>
    <tableColumn id="10" name="列2" dataDxfId="29">
      <calculatedColumnFormula>IF(D18=H18,"历史最低","")</calculatedColumnFormula>
    </tableColumn>
    <tableColumn id="11" name="价格同比" dataDxfId="30">
      <calculatedColumnFormula>(D18-H18)/H18</calculatedColumnFormula>
    </tableColumn>
    <tableColumn id="12" name="数量同比" dataDxfId="31">
      <calculatedColumnFormula>(E18-I18)/I18</calculatedColumnFormula>
    </tableColumn>
    <tableColumn id="13" name="同比弹性" dataDxfId="32">
      <calculatedColumnFormula>IFERROR(L18/K18,"")</calculatedColumnFormula>
    </tableColumn>
    <tableColumn id="14" name="同比评价" dataDxfId="33">
      <calculatedColumnFormula>IF(M18="","",IF(M18&gt;0,"只卖不买",IF(M18&gt;-0.3,"只卖不买",IF(M18&gt;=-1.5,"交易区",IF(M18&gt;=-2.5,"谨慎","危险盘")))))</calculatedColumnFormula>
    </tableColumn>
    <tableColumn id="15" name="价格环比" dataDxfId="34">
      <calculatedColumnFormula>(D18-F18)/F18</calculatedColumnFormula>
    </tableColumn>
    <tableColumn id="16" name="数量环比" dataDxfId="35">
      <calculatedColumnFormula>(E18-G18)/G18</calculatedColumnFormula>
    </tableColumn>
    <tableColumn id="17" name="环比弹性" dataDxfId="36">
      <calculatedColumnFormula>IFERROR(P18/O18,"")</calculatedColumnFormula>
    </tableColumn>
    <tableColumn id="18" name="环比评价" dataDxfId="37">
      <calculatedColumnFormula>IF(Q18="","",IF(Q18&gt;0,"只卖不买",IF(Q18&gt;-0.3,"只卖不买",IF(Q18&gt;=-1.5,"交易区",IF(Q18&gt;=-2.5,"谨慎","危险盘")))))</calculatedColumnFormula>
    </tableColumn>
    <tableColumn id="19" name="列3" dataDxfId="38">
      <calculatedColumnFormula>IF(AND(N18="交易区",R18="交易区"),"双绿","")</calculatedColumnFormula>
    </tableColumn>
    <tableColumn id="21" name="最高价格" dataDxfId="39">
      <calculatedColumnFormula array="1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calculatedColumnFormula>
    </tableColumn>
    <tableColumn id="22" name="最高数量" dataDxfId="40">
      <calculatedColumnFormula array="1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tabSelected="1" zoomScale="98" zoomScaleNormal="98" workbookViewId="0">
      <selection activeCell="H34" sqref="H34"/>
    </sheetView>
  </sheetViews>
  <sheetFormatPr defaultColWidth="9" defaultRowHeight="13.5"/>
  <cols>
    <col min="1" max="1" width="10.375" style="2"/>
    <col min="2" max="7" width="9.625" style="2" customWidth="1"/>
    <col min="8" max="9" width="9.7" style="48" customWidth="1"/>
    <col min="10" max="11" width="9.7" style="49" customWidth="1"/>
    <col min="12" max="12" width="9.7" style="48" customWidth="1"/>
    <col min="13" max="13" width="9.375" style="1" customWidth="1"/>
    <col min="14" max="14" width="9" style="1" customWidth="1"/>
    <col min="15" max="18" width="9" style="1"/>
    <col min="19" max="20" width="9.7" style="50" customWidth="1"/>
    <col min="21" max="16384" width="9" style="1"/>
  </cols>
  <sheetData>
    <row r="1" spans="1:20">
      <c r="A1" s="51">
        <f ca="1">TODAY()</f>
        <v>46096</v>
      </c>
      <c r="B1" s="47"/>
      <c r="C1" s="47"/>
      <c r="D1" s="47"/>
      <c r="E1" s="47"/>
      <c r="F1" s="47"/>
      <c r="G1" s="47"/>
      <c r="H1" s="52"/>
      <c r="I1" s="53"/>
      <c r="J1" s="52"/>
      <c r="K1" s="52"/>
      <c r="L1" s="53"/>
      <c r="M1" s="47"/>
      <c r="N1" s="47"/>
      <c r="O1" s="47"/>
      <c r="P1" s="47"/>
      <c r="Q1" s="47"/>
      <c r="R1" s="47"/>
      <c r="S1" s="54"/>
      <c r="T1" s="54"/>
    </row>
    <row r="2" spans="1:20">
      <c r="A2" s="47"/>
      <c r="B2" s="47" t="s">
        <v>0</v>
      </c>
      <c r="C2" s="47" t="s">
        <v>1</v>
      </c>
      <c r="D2" s="47" t="s">
        <v>2</v>
      </c>
      <c r="E2" s="47" t="s">
        <v>3</v>
      </c>
      <c r="F2" s="47" t="s">
        <v>4</v>
      </c>
      <c r="G2" s="47" t="s">
        <v>5</v>
      </c>
      <c r="H2" s="53"/>
      <c r="I2" s="53"/>
      <c r="J2" s="52"/>
      <c r="K2" s="52"/>
      <c r="L2" s="53"/>
      <c r="M2" s="47"/>
      <c r="N2" s="47"/>
      <c r="O2" s="47"/>
      <c r="P2" s="47"/>
      <c r="Q2" s="47"/>
      <c r="R2" s="47"/>
      <c r="S2" s="54"/>
      <c r="T2" s="54"/>
    </row>
    <row r="3" spans="1:20">
      <c r="A3" s="55"/>
      <c r="B3" s="47" t="s">
        <v>6</v>
      </c>
      <c r="C3" s="47">
        <v>3980</v>
      </c>
      <c r="D3" s="56">
        <v>46044</v>
      </c>
      <c r="E3" s="47">
        <f ca="1">-(D3-$A$1)</f>
        <v>52</v>
      </c>
      <c r="F3" s="57">
        <f>IFERROR(_xlfn.XLOOKUP(B3,弹性!B:B,弹性!D:D),"")</f>
        <v>5100</v>
      </c>
      <c r="G3" s="57">
        <f>F3-C3</f>
        <v>1120</v>
      </c>
      <c r="H3" s="57"/>
      <c r="I3" s="57"/>
      <c r="J3" s="52"/>
      <c r="K3" s="52"/>
      <c r="L3" s="58"/>
      <c r="M3" s="47"/>
      <c r="N3" s="47"/>
      <c r="O3" s="47"/>
      <c r="P3" s="47"/>
      <c r="Q3" s="47"/>
      <c r="R3" s="47"/>
      <c r="S3" s="54"/>
      <c r="T3" s="54"/>
    </row>
    <row r="4" spans="1:20">
      <c r="A4" s="55"/>
      <c r="B4" s="47" t="s">
        <v>7</v>
      </c>
      <c r="C4" s="47">
        <v>1898</v>
      </c>
      <c r="D4" s="56">
        <v>46035</v>
      </c>
      <c r="E4" s="47">
        <f ca="1">-(D4-$A$1)</f>
        <v>61</v>
      </c>
      <c r="F4" s="57">
        <f>IFERROR(_xlfn.XLOOKUP(B4,弹性!B:B,弹性!D:D),"")</f>
        <v>1890</v>
      </c>
      <c r="G4" s="57">
        <f>F4-C4</f>
        <v>-8</v>
      </c>
      <c r="H4" s="57"/>
      <c r="I4" s="57"/>
      <c r="J4" s="52"/>
      <c r="K4" s="52"/>
      <c r="L4" s="58"/>
      <c r="M4" s="47"/>
      <c r="N4" s="47"/>
      <c r="O4" s="47"/>
      <c r="P4" s="47"/>
      <c r="Q4" s="47"/>
      <c r="R4" s="47"/>
      <c r="S4" s="54"/>
      <c r="T4" s="54"/>
    </row>
    <row r="5" spans="1:20">
      <c r="A5" s="55"/>
      <c r="B5" s="47" t="s">
        <v>8</v>
      </c>
      <c r="C5" s="47">
        <v>1800</v>
      </c>
      <c r="D5" s="56">
        <v>46044</v>
      </c>
      <c r="E5" s="47">
        <f ca="1">-(D5-$A$1)</f>
        <v>52</v>
      </c>
      <c r="F5" s="57">
        <f>IFERROR(_xlfn.XLOOKUP(B5,弹性!B:B,弹性!D:D),"")</f>
        <v>1819</v>
      </c>
      <c r="G5" s="57">
        <f>F5-C5</f>
        <v>19</v>
      </c>
      <c r="H5" s="57"/>
      <c r="I5" s="57"/>
      <c r="J5" s="52"/>
      <c r="K5" s="52"/>
      <c r="L5" s="58"/>
      <c r="M5" s="47"/>
      <c r="N5" s="47"/>
      <c r="O5" s="47"/>
      <c r="P5" s="47"/>
      <c r="Q5" s="47"/>
      <c r="R5" s="47"/>
      <c r="S5" s="54"/>
      <c r="T5" s="54"/>
    </row>
    <row r="6" spans="1:20">
      <c r="A6" s="55"/>
      <c r="B6" s="47" t="s">
        <v>9</v>
      </c>
      <c r="C6" s="47">
        <v>1995</v>
      </c>
      <c r="D6" s="56">
        <v>46058</v>
      </c>
      <c r="E6" s="47">
        <f ca="1">-(D6-$A$1)</f>
        <v>38</v>
      </c>
      <c r="F6" s="57">
        <f>IFERROR(_xlfn.XLOOKUP(B6,弹性!B:B,弹性!D:D),"")</f>
        <v>1800</v>
      </c>
      <c r="G6" s="57">
        <f>F6-C6</f>
        <v>-195</v>
      </c>
      <c r="H6" s="57"/>
      <c r="I6" s="57"/>
      <c r="J6" s="52"/>
      <c r="K6" s="52"/>
      <c r="L6" s="58"/>
      <c r="M6" s="47"/>
      <c r="N6" s="47"/>
      <c r="O6" s="47"/>
      <c r="P6" s="47"/>
      <c r="Q6" s="47"/>
      <c r="R6" s="47"/>
      <c r="S6" s="54"/>
      <c r="T6" s="54"/>
    </row>
    <row r="7" spans="1:20">
      <c r="A7" s="55"/>
      <c r="B7" s="47" t="s">
        <v>10</v>
      </c>
      <c r="C7" s="47">
        <v>2535</v>
      </c>
      <c r="D7" s="56">
        <v>46058</v>
      </c>
      <c r="E7" s="47">
        <f ca="1">-(D7-$A$1)</f>
        <v>38</v>
      </c>
      <c r="F7" s="57">
        <f>IFERROR(_xlfn.XLOOKUP(B7,弹性!B:B,弹性!D:D),"")</f>
        <v>2595</v>
      </c>
      <c r="G7" s="57">
        <f>F7-C7</f>
        <v>60</v>
      </c>
      <c r="H7" s="57"/>
      <c r="I7" s="57"/>
      <c r="J7" s="52"/>
      <c r="K7" s="52"/>
      <c r="L7" s="58"/>
      <c r="M7" s="47"/>
      <c r="N7" s="47"/>
      <c r="O7" s="47"/>
      <c r="P7" s="47"/>
      <c r="Q7" s="47"/>
      <c r="R7" s="47"/>
      <c r="S7" s="54"/>
      <c r="T7" s="54"/>
    </row>
    <row r="8" spans="1:20">
      <c r="A8" s="55"/>
      <c r="B8" s="47"/>
      <c r="C8" s="47"/>
      <c r="D8" s="55"/>
      <c r="E8" s="55"/>
      <c r="F8" s="55"/>
      <c r="G8" s="55"/>
      <c r="H8" s="57"/>
      <c r="I8" s="57"/>
      <c r="J8" s="52"/>
      <c r="K8" s="52"/>
      <c r="L8" s="58"/>
      <c r="M8" s="47"/>
      <c r="N8" s="47"/>
      <c r="O8" s="47"/>
      <c r="P8" s="47"/>
      <c r="Q8" s="47"/>
      <c r="R8" s="47"/>
      <c r="S8" s="54"/>
      <c r="T8" s="54"/>
    </row>
    <row r="9" spans="1:20">
      <c r="A9" s="55"/>
      <c r="B9" s="47" t="s">
        <v>11</v>
      </c>
      <c r="C9" s="47">
        <f>SUM(C3:C7)</f>
        <v>12208</v>
      </c>
      <c r="D9" s="55"/>
      <c r="E9" s="55"/>
      <c r="F9" s="47"/>
      <c r="G9" s="54"/>
      <c r="H9" s="57"/>
      <c r="I9" s="57"/>
      <c r="J9" s="52"/>
      <c r="K9" s="52"/>
      <c r="L9" s="58"/>
      <c r="M9" s="47"/>
      <c r="N9" s="47"/>
      <c r="O9" s="47"/>
      <c r="P9" s="47"/>
      <c r="Q9" s="47"/>
      <c r="R9" s="47"/>
      <c r="S9" s="54"/>
      <c r="T9" s="54"/>
    </row>
    <row r="10" spans="1:20">
      <c r="A10" s="55"/>
      <c r="B10" s="47" t="s">
        <v>12</v>
      </c>
      <c r="C10" s="47">
        <f>SUM(F3:F7)</f>
        <v>13204</v>
      </c>
      <c r="D10" s="55"/>
      <c r="E10" s="55"/>
      <c r="F10" s="55"/>
      <c r="G10" s="55"/>
      <c r="H10" s="57"/>
      <c r="I10" s="57"/>
      <c r="J10" s="52"/>
      <c r="K10" s="52"/>
      <c r="L10" s="58"/>
      <c r="M10" s="47"/>
      <c r="N10" s="47"/>
      <c r="O10" s="47"/>
      <c r="P10" s="47"/>
      <c r="Q10" s="59"/>
      <c r="R10" s="59"/>
      <c r="S10" s="54"/>
      <c r="T10" s="54"/>
    </row>
    <row r="11" spans="1:20">
      <c r="A11" s="55"/>
      <c r="B11" s="55" t="s">
        <v>13</v>
      </c>
      <c r="C11" s="55">
        <f>C10-C9</f>
        <v>996</v>
      </c>
      <c r="D11" s="55"/>
      <c r="E11" s="55"/>
      <c r="F11" s="55"/>
      <c r="G11" s="55"/>
      <c r="H11" s="57"/>
      <c r="I11" s="57"/>
      <c r="J11" s="52"/>
      <c r="K11" s="52"/>
      <c r="L11" s="58"/>
      <c r="M11" s="59"/>
      <c r="N11" s="59"/>
      <c r="O11" s="59"/>
      <c r="P11" s="59"/>
      <c r="Q11" s="59"/>
      <c r="R11" s="59"/>
      <c r="S11" s="54"/>
      <c r="T11" s="54"/>
    </row>
    <row r="12" spans="1:20">
      <c r="A12" s="55"/>
      <c r="B12" s="47" t="s">
        <v>14</v>
      </c>
      <c r="C12" s="52">
        <f>C11/C9</f>
        <v>0.0815858453473132</v>
      </c>
      <c r="D12" s="55"/>
      <c r="E12" s="55"/>
      <c r="F12" s="55"/>
      <c r="G12" s="55"/>
      <c r="H12" s="57"/>
      <c r="I12" s="57"/>
      <c r="J12" s="52"/>
      <c r="K12" s="52"/>
      <c r="L12" s="58"/>
      <c r="M12" s="59"/>
      <c r="N12" s="59"/>
      <c r="O12" s="59"/>
      <c r="P12" s="59"/>
      <c r="Q12" s="59"/>
      <c r="R12" s="59"/>
      <c r="S12" s="54"/>
      <c r="T12" s="54"/>
    </row>
    <row r="13" spans="1:20">
      <c r="A13" s="55"/>
      <c r="B13" s="47" t="s">
        <v>15</v>
      </c>
      <c r="C13" s="52">
        <f ca="1">C12/(AVERAGE(E3:E5)/30)</f>
        <v>0.0445013701894436</v>
      </c>
      <c r="D13" s="55"/>
      <c r="E13" s="55"/>
      <c r="F13" s="55"/>
      <c r="G13" s="55"/>
      <c r="H13" s="57"/>
      <c r="I13" s="57"/>
      <c r="J13" s="52"/>
      <c r="K13" s="52"/>
      <c r="L13" s="58"/>
      <c r="M13" s="59"/>
      <c r="N13" s="59"/>
      <c r="O13" s="59"/>
      <c r="P13" s="59"/>
      <c r="Q13" s="59"/>
      <c r="R13" s="59"/>
      <c r="S13" s="54"/>
      <c r="T13" s="54"/>
    </row>
    <row r="14" spans="1:20">
      <c r="A14" s="55"/>
      <c r="B14" s="47"/>
      <c r="C14" s="47"/>
      <c r="D14" s="55"/>
      <c r="E14" s="55"/>
      <c r="F14" s="55"/>
      <c r="G14" s="55"/>
      <c r="H14" s="57"/>
      <c r="I14" s="57"/>
      <c r="J14" s="52"/>
      <c r="K14" s="52"/>
      <c r="L14" s="58"/>
      <c r="M14" s="59"/>
      <c r="N14" s="59"/>
      <c r="O14" s="59"/>
      <c r="P14" s="59"/>
      <c r="Q14" s="59"/>
      <c r="R14" s="59"/>
      <c r="S14" s="54"/>
      <c r="T14" s="54"/>
    </row>
    <row r="15" spans="1:20">
      <c r="A15" s="55"/>
      <c r="B15" s="47"/>
      <c r="C15" s="47"/>
      <c r="D15" s="55"/>
      <c r="E15" s="55"/>
      <c r="F15" s="55"/>
      <c r="G15" s="55"/>
      <c r="H15" s="57"/>
      <c r="I15" s="57"/>
      <c r="J15" s="52"/>
      <c r="K15" s="52"/>
      <c r="L15" s="58"/>
      <c r="M15" s="59"/>
      <c r="N15" s="59"/>
      <c r="O15" s="59"/>
      <c r="P15" s="59"/>
      <c r="Q15" s="59"/>
      <c r="R15" s="59"/>
      <c r="S15" s="54"/>
      <c r="T15" s="54"/>
    </row>
    <row r="16" spans="1:20">
      <c r="A16" s="55"/>
      <c r="B16" s="47"/>
      <c r="C16" s="47"/>
      <c r="D16" s="55"/>
      <c r="E16" s="55"/>
      <c r="F16" s="55"/>
      <c r="G16" s="55"/>
      <c r="H16" s="57"/>
      <c r="I16" s="57"/>
      <c r="J16" s="52"/>
      <c r="K16" s="52"/>
      <c r="L16" s="58"/>
      <c r="M16" s="59"/>
      <c r="N16" s="59"/>
      <c r="O16" s="59"/>
      <c r="P16" s="59"/>
      <c r="Q16" s="59"/>
      <c r="R16" s="59"/>
      <c r="S16" s="54"/>
      <c r="T16" s="54"/>
    </row>
    <row r="17" spans="1:20">
      <c r="A17" s="55"/>
      <c r="B17" s="47"/>
      <c r="C17" s="47"/>
      <c r="D17" s="55"/>
      <c r="E17" s="55"/>
      <c r="F17" s="55"/>
      <c r="G17" s="55"/>
      <c r="H17" s="57"/>
      <c r="I17" s="57"/>
      <c r="J17" s="52"/>
      <c r="K17" s="52"/>
      <c r="L17" s="58"/>
      <c r="M17" s="59"/>
      <c r="N17" s="59"/>
      <c r="O17" s="59"/>
      <c r="P17" s="59"/>
      <c r="Q17" s="59"/>
      <c r="R17" s="59"/>
      <c r="S17" s="54"/>
      <c r="T17" s="54"/>
    </row>
    <row r="18" spans="1:20">
      <c r="A18" s="55"/>
      <c r="B18" s="47"/>
      <c r="C18" s="47"/>
      <c r="D18" s="55"/>
      <c r="E18" s="55"/>
      <c r="F18" s="55"/>
      <c r="G18" s="55"/>
      <c r="H18" s="57"/>
      <c r="I18" s="57"/>
      <c r="J18" s="52"/>
      <c r="K18" s="52"/>
      <c r="L18" s="58"/>
      <c r="M18" s="59"/>
      <c r="N18" s="59"/>
      <c r="O18" s="59"/>
      <c r="P18" s="59"/>
      <c r="Q18" s="59"/>
      <c r="R18" s="59"/>
      <c r="S18" s="54"/>
      <c r="T18" s="54"/>
    </row>
    <row r="19" spans="1:20">
      <c r="A19" s="55"/>
      <c r="B19" s="47"/>
      <c r="C19" s="47"/>
      <c r="D19" s="55"/>
      <c r="E19" s="55"/>
      <c r="F19" s="55"/>
      <c r="G19" s="55"/>
      <c r="H19" s="57"/>
      <c r="I19" s="57"/>
      <c r="J19" s="52"/>
      <c r="K19" s="52"/>
      <c r="L19" s="58"/>
      <c r="M19" s="59"/>
      <c r="N19" s="59"/>
      <c r="O19" s="59"/>
      <c r="P19" s="59"/>
      <c r="Q19" s="59"/>
      <c r="R19" s="59"/>
      <c r="S19" s="54"/>
      <c r="T19" s="54"/>
    </row>
    <row r="20" spans="1:20">
      <c r="A20" s="55"/>
      <c r="B20" s="47"/>
      <c r="C20" s="47"/>
      <c r="D20" s="55"/>
      <c r="E20" s="55"/>
      <c r="F20" s="55"/>
      <c r="G20" s="55"/>
      <c r="H20" s="57"/>
      <c r="I20" s="57"/>
      <c r="J20" s="52"/>
      <c r="K20" s="52"/>
      <c r="L20" s="58"/>
      <c r="M20" s="59"/>
      <c r="N20" s="59"/>
      <c r="O20" s="59"/>
      <c r="P20" s="59"/>
      <c r="Q20" s="59"/>
      <c r="R20" s="59"/>
      <c r="S20" s="54"/>
      <c r="T20" s="54"/>
    </row>
    <row r="21" spans="1:20">
      <c r="A21" s="55"/>
      <c r="B21" s="47"/>
      <c r="C21" s="47"/>
      <c r="D21" s="55"/>
      <c r="E21" s="55"/>
      <c r="F21" s="55"/>
      <c r="G21" s="55"/>
      <c r="H21" s="57"/>
      <c r="I21" s="57"/>
      <c r="J21" s="52"/>
      <c r="K21" s="52"/>
      <c r="L21" s="58"/>
      <c r="M21" s="59"/>
      <c r="N21" s="59"/>
      <c r="O21" s="59"/>
      <c r="P21" s="59"/>
      <c r="Q21" s="59"/>
      <c r="R21" s="59"/>
      <c r="S21" s="54"/>
      <c r="T21" s="54"/>
    </row>
    <row r="22" spans="1:20">
      <c r="A22" s="55"/>
      <c r="B22" s="47"/>
      <c r="C22" s="47"/>
      <c r="D22" s="55"/>
      <c r="E22" s="55"/>
      <c r="F22" s="55"/>
      <c r="G22" s="55"/>
      <c r="H22" s="57"/>
      <c r="I22" s="57"/>
      <c r="J22" s="52"/>
      <c r="K22" s="52"/>
      <c r="L22" s="58"/>
      <c r="M22" s="59"/>
      <c r="N22" s="59"/>
      <c r="O22" s="59"/>
      <c r="P22" s="59"/>
      <c r="Q22" s="59"/>
      <c r="R22" s="59"/>
      <c r="S22" s="54"/>
      <c r="T22" s="54"/>
    </row>
    <row r="23" spans="1:20">
      <c r="A23" s="55"/>
      <c r="B23" s="47"/>
      <c r="C23" s="47"/>
      <c r="D23" s="55"/>
      <c r="E23" s="55"/>
      <c r="F23" s="55"/>
      <c r="G23" s="55"/>
      <c r="H23" s="57"/>
      <c r="I23" s="57"/>
      <c r="J23" s="52"/>
      <c r="K23" s="52"/>
      <c r="L23" s="58"/>
      <c r="M23" s="59"/>
      <c r="N23" s="59"/>
      <c r="O23" s="59"/>
      <c r="P23" s="59"/>
      <c r="Q23" s="59"/>
      <c r="R23" s="59"/>
      <c r="S23" s="54"/>
      <c r="T23" s="54"/>
    </row>
    <row r="24" spans="1:20">
      <c r="A24" s="55"/>
      <c r="B24" s="47"/>
      <c r="C24" s="47"/>
      <c r="D24" s="55"/>
      <c r="E24" s="55"/>
      <c r="F24" s="55"/>
      <c r="G24" s="55"/>
      <c r="H24" s="57"/>
      <c r="I24" s="57"/>
      <c r="J24" s="52"/>
      <c r="K24" s="52"/>
      <c r="L24" s="58"/>
      <c r="M24" s="59"/>
      <c r="N24" s="59"/>
      <c r="O24" s="59"/>
      <c r="P24" s="59"/>
      <c r="Q24" s="59"/>
      <c r="R24" s="59"/>
      <c r="S24" s="54"/>
      <c r="T24" s="54"/>
    </row>
    <row r="25" spans="1:20">
      <c r="A25" s="55"/>
      <c r="B25" s="47"/>
      <c r="C25" s="47"/>
      <c r="D25" s="55"/>
      <c r="E25" s="55"/>
      <c r="F25" s="55"/>
      <c r="G25" s="55"/>
      <c r="H25" s="57"/>
      <c r="I25" s="57"/>
      <c r="J25" s="52"/>
      <c r="K25" s="52"/>
      <c r="L25" s="58"/>
      <c r="M25" s="59"/>
      <c r="N25" s="59"/>
      <c r="O25" s="59"/>
      <c r="P25" s="59"/>
      <c r="Q25" s="59"/>
      <c r="R25" s="59"/>
      <c r="S25" s="54"/>
      <c r="T25" s="54"/>
    </row>
    <row r="26" spans="1:20">
      <c r="A26" s="55"/>
      <c r="B26" s="47"/>
      <c r="C26" s="47"/>
      <c r="D26" s="55"/>
      <c r="E26" s="55"/>
      <c r="F26" s="55"/>
      <c r="G26" s="55"/>
      <c r="H26" s="57"/>
      <c r="I26" s="57"/>
      <c r="J26" s="52"/>
      <c r="K26" s="52"/>
      <c r="L26" s="58"/>
      <c r="M26" s="59"/>
      <c r="N26" s="59"/>
      <c r="O26" s="59"/>
      <c r="P26" s="59"/>
      <c r="Q26" s="59"/>
      <c r="R26" s="59"/>
      <c r="S26" s="54"/>
      <c r="T26" s="54"/>
    </row>
    <row r="27" spans="1:20">
      <c r="A27" s="55"/>
      <c r="B27" s="47"/>
      <c r="C27" s="47"/>
      <c r="D27" s="55"/>
      <c r="E27" s="55"/>
      <c r="F27" s="55"/>
      <c r="G27" s="55"/>
      <c r="H27" s="57"/>
      <c r="I27" s="57"/>
      <c r="J27" s="52"/>
      <c r="K27" s="52"/>
      <c r="L27" s="58"/>
      <c r="M27" s="59"/>
      <c r="N27" s="59"/>
      <c r="O27" s="59"/>
      <c r="P27" s="59"/>
      <c r="Q27" s="59"/>
      <c r="R27" s="59"/>
      <c r="S27" s="54"/>
      <c r="T27" s="54"/>
    </row>
    <row r="28" spans="1:20">
      <c r="A28" s="55"/>
      <c r="B28" s="47"/>
      <c r="C28" s="47"/>
      <c r="D28" s="55"/>
      <c r="E28" s="55"/>
      <c r="F28" s="55"/>
      <c r="G28" s="55"/>
      <c r="H28" s="57"/>
      <c r="I28" s="57"/>
      <c r="J28" s="52"/>
      <c r="K28" s="52"/>
      <c r="L28" s="58"/>
      <c r="M28" s="59"/>
      <c r="N28" s="59"/>
      <c r="O28" s="59"/>
      <c r="P28" s="59"/>
      <c r="Q28" s="59"/>
      <c r="R28" s="59"/>
      <c r="S28" s="54"/>
      <c r="T28" s="54"/>
    </row>
    <row r="29" spans="1:20">
      <c r="A29" s="55"/>
      <c r="B29" s="47"/>
      <c r="C29" s="47"/>
      <c r="D29" s="55"/>
      <c r="E29" s="55"/>
      <c r="F29" s="55"/>
      <c r="G29" s="55"/>
      <c r="H29" s="57"/>
      <c r="I29" s="57"/>
      <c r="J29" s="52"/>
      <c r="K29" s="52"/>
      <c r="L29" s="58"/>
      <c r="M29" s="59"/>
      <c r="N29" s="59"/>
      <c r="O29" s="59"/>
      <c r="P29" s="59"/>
      <c r="Q29" s="59"/>
      <c r="R29" s="59"/>
      <c r="S29" s="54"/>
      <c r="T29" s="54"/>
    </row>
    <row r="30" spans="1:20">
      <c r="A30" s="55"/>
      <c r="B30" s="47"/>
      <c r="C30" s="47"/>
      <c r="D30" s="55"/>
      <c r="E30" s="55"/>
      <c r="F30" s="55"/>
      <c r="G30" s="55"/>
      <c r="H30" s="57"/>
      <c r="I30" s="57"/>
      <c r="J30" s="52"/>
      <c r="K30" s="52"/>
      <c r="L30" s="58"/>
      <c r="M30" s="59"/>
      <c r="N30" s="59"/>
      <c r="O30" s="59"/>
      <c r="P30" s="59"/>
      <c r="Q30" s="59"/>
      <c r="R30" s="59"/>
      <c r="S30" s="54"/>
      <c r="T30" s="54"/>
    </row>
    <row r="31" spans="1:20">
      <c r="A31" s="55"/>
      <c r="B31" s="47"/>
      <c r="C31" s="47"/>
      <c r="D31" s="55"/>
      <c r="E31" s="55"/>
      <c r="F31" s="55"/>
      <c r="G31" s="55"/>
      <c r="H31" s="57"/>
      <c r="I31" s="57"/>
      <c r="J31" s="52"/>
      <c r="K31" s="52"/>
      <c r="L31" s="58"/>
      <c r="M31" s="59"/>
      <c r="N31" s="59"/>
      <c r="O31" s="59"/>
      <c r="P31" s="59"/>
      <c r="Q31" s="59"/>
      <c r="R31" s="59"/>
      <c r="S31" s="54"/>
      <c r="T31" s="54"/>
    </row>
    <row r="32" spans="1:20">
      <c r="A32" s="55"/>
      <c r="B32" s="47"/>
      <c r="C32" s="47"/>
      <c r="D32" s="55"/>
      <c r="E32" s="55"/>
      <c r="F32" s="55"/>
      <c r="G32" s="55"/>
      <c r="H32" s="57"/>
      <c r="I32" s="57"/>
      <c r="J32" s="52"/>
      <c r="K32" s="52"/>
      <c r="L32" s="58"/>
      <c r="M32" s="59"/>
      <c r="N32" s="59"/>
      <c r="O32" s="59"/>
      <c r="P32" s="59"/>
      <c r="Q32" s="59"/>
      <c r="R32" s="59"/>
      <c r="S32" s="54"/>
      <c r="T32" s="54"/>
    </row>
    <row r="33" spans="1:20">
      <c r="A33" s="55"/>
      <c r="B33" s="47"/>
      <c r="C33" s="47"/>
      <c r="D33" s="55"/>
      <c r="E33" s="55"/>
      <c r="F33" s="55"/>
      <c r="G33" s="55"/>
      <c r="H33" s="57"/>
      <c r="I33" s="57"/>
      <c r="J33" s="52"/>
      <c r="K33" s="52"/>
      <c r="L33" s="58"/>
      <c r="M33" s="59"/>
      <c r="N33" s="59"/>
      <c r="O33" s="59"/>
      <c r="P33" s="59"/>
      <c r="Q33" s="59"/>
      <c r="R33" s="59"/>
      <c r="S33" s="54"/>
      <c r="T33" s="54"/>
    </row>
    <row r="34" spans="1:20">
      <c r="A34" s="55"/>
      <c r="B34" s="47"/>
      <c r="C34" s="47"/>
      <c r="D34" s="55"/>
      <c r="E34" s="55"/>
      <c r="F34" s="55"/>
      <c r="G34" s="55"/>
      <c r="H34" s="57"/>
      <c r="I34" s="57"/>
      <c r="J34" s="52"/>
      <c r="K34" s="52"/>
      <c r="L34" s="58"/>
      <c r="M34" s="59"/>
      <c r="N34" s="59"/>
      <c r="O34" s="59"/>
      <c r="P34" s="59"/>
      <c r="Q34" s="59"/>
      <c r="R34" s="59"/>
      <c r="S34" s="54"/>
      <c r="T34" s="54"/>
    </row>
    <row r="35" spans="1:20">
      <c r="A35" s="55"/>
      <c r="B35" s="47"/>
      <c r="C35" s="47"/>
      <c r="D35" s="55"/>
      <c r="E35" s="55"/>
      <c r="F35" s="55"/>
      <c r="G35" s="55"/>
      <c r="H35" s="57"/>
      <c r="I35" s="57"/>
      <c r="J35" s="52"/>
      <c r="K35" s="52"/>
      <c r="L35" s="58"/>
      <c r="M35" s="59"/>
      <c r="N35" s="59"/>
      <c r="O35" s="59"/>
      <c r="P35" s="59"/>
      <c r="Q35" s="59"/>
      <c r="R35" s="59"/>
      <c r="S35" s="54"/>
      <c r="T35" s="54"/>
    </row>
    <row r="36" spans="1:20">
      <c r="A36" s="55"/>
      <c r="B36" s="47"/>
      <c r="C36" s="47"/>
      <c r="D36" s="55"/>
      <c r="E36" s="55"/>
      <c r="F36" s="55"/>
      <c r="G36" s="55"/>
      <c r="H36" s="57"/>
      <c r="I36" s="57"/>
      <c r="J36" s="52"/>
      <c r="K36" s="52"/>
      <c r="L36" s="58"/>
      <c r="M36" s="59"/>
      <c r="N36" s="59"/>
      <c r="O36" s="59"/>
      <c r="P36" s="59"/>
      <c r="Q36" s="59"/>
      <c r="R36" s="59"/>
      <c r="S36" s="54"/>
      <c r="T36" s="54"/>
    </row>
    <row r="37" spans="1:20">
      <c r="A37" s="55"/>
      <c r="B37" s="47"/>
      <c r="C37" s="47"/>
      <c r="D37" s="55"/>
      <c r="E37" s="55"/>
      <c r="F37" s="55"/>
      <c r="G37" s="55"/>
      <c r="H37" s="57"/>
      <c r="I37" s="57"/>
      <c r="J37" s="52"/>
      <c r="K37" s="52"/>
      <c r="L37" s="58"/>
      <c r="M37" s="47"/>
      <c r="N37" s="47"/>
      <c r="O37" s="47"/>
      <c r="P37" s="47"/>
      <c r="Q37" s="59"/>
      <c r="R37" s="59"/>
      <c r="S37" s="54"/>
      <c r="T37" s="54"/>
    </row>
    <row r="38" spans="1:20">
      <c r="A38" s="55"/>
      <c r="B38" s="47"/>
      <c r="C38" s="47"/>
      <c r="D38" s="55"/>
      <c r="E38" s="55"/>
      <c r="F38" s="55"/>
      <c r="G38" s="55"/>
      <c r="H38" s="57"/>
      <c r="I38" s="57"/>
      <c r="J38" s="52"/>
      <c r="K38" s="52"/>
      <c r="L38" s="58"/>
      <c r="M38" s="47"/>
      <c r="N38" s="47"/>
      <c r="O38" s="47"/>
      <c r="P38" s="47"/>
      <c r="Q38" s="59"/>
      <c r="R38" s="59"/>
      <c r="S38" s="54"/>
      <c r="T38" s="54"/>
    </row>
    <row r="39" spans="1:20">
      <c r="A39" s="47"/>
      <c r="B39" s="47"/>
      <c r="C39" s="47"/>
      <c r="D39" s="47"/>
      <c r="E39" s="47"/>
      <c r="F39" s="47"/>
      <c r="G39" s="47"/>
      <c r="H39" s="60"/>
      <c r="I39" s="60"/>
      <c r="J39" s="61"/>
      <c r="K39" s="61"/>
      <c r="L39" s="60"/>
      <c r="M39" s="47"/>
      <c r="N39" s="47"/>
      <c r="O39" s="47"/>
      <c r="P39" s="47"/>
      <c r="Q39" s="59"/>
      <c r="R39" s="59"/>
      <c r="S39" s="62"/>
      <c r="T39" s="62"/>
    </row>
  </sheetData>
  <mergeCells count="3">
    <mergeCell ref="M1:N1"/>
    <mergeCell ref="O1:P1"/>
    <mergeCell ref="Q1:R1"/>
  </mergeCells>
  <conditionalFormatting sqref="F3:G7">
    <cfRule type="expression" dxfId="0" priority="1">
      <formula>$T3="双绿"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42"/>
  <sheetViews>
    <sheetView workbookViewId="0">
      <selection activeCell="M37" sqref="M37"/>
    </sheetView>
  </sheetViews>
  <sheetFormatPr defaultColWidth="9" defaultRowHeight="13.5"/>
  <cols>
    <col min="4" max="4" width="9.375" customWidth="1"/>
    <col min="7" max="8" width="9.375"/>
    <col min="11" max="11" width="10" customWidth="1"/>
    <col min="13" max="13" width="9.375"/>
    <col min="14" max="15" width="9.53333333333333"/>
    <col min="16" max="16" width="9" customWidth="1"/>
    <col min="17" max="17" width="9.75" style="4" customWidth="1"/>
    <col min="18" max="18" width="10" style="5" customWidth="1"/>
    <col min="19" max="19" width="9.53333333333333"/>
  </cols>
  <sheetData>
    <row r="1" ht="14.25"/>
    <row r="2" ht="14.25" spans="2:21">
      <c r="B2" s="6" t="s">
        <v>16</v>
      </c>
      <c r="C2" s="7" t="s">
        <v>17</v>
      </c>
      <c r="D2" s="8" t="s">
        <v>4</v>
      </c>
      <c r="E2" s="8" t="s">
        <v>18</v>
      </c>
      <c r="F2" s="8" t="s">
        <v>19</v>
      </c>
      <c r="G2" s="8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8" t="s">
        <v>25</v>
      </c>
      <c r="M2" s="9" t="s">
        <v>26</v>
      </c>
      <c r="N2" s="9" t="s">
        <v>27</v>
      </c>
      <c r="O2" s="8" t="s">
        <v>28</v>
      </c>
      <c r="P2" s="8" t="s">
        <v>29</v>
      </c>
      <c r="Q2" s="10" t="s">
        <v>30</v>
      </c>
      <c r="R2" s="11" t="s">
        <v>31</v>
      </c>
      <c r="S2" s="12" t="s">
        <v>32</v>
      </c>
      <c r="T2" s="10" t="s">
        <v>33</v>
      </c>
      <c r="U2" s="13" t="s">
        <v>34</v>
      </c>
    </row>
    <row r="3" spans="2:21">
      <c r="B3" s="14" t="s">
        <v>6</v>
      </c>
      <c r="C3" s="15" t="s">
        <v>35</v>
      </c>
      <c r="D3" s="16">
        <f t="array" ref="D3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5100</v>
      </c>
      <c r="E3" s="16">
        <f t="array" ref="E3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15</v>
      </c>
      <c r="F3" s="16">
        <f t="array" ref="F3">_xlfn.LET(_xlpm.key,$B3&amp;"|"&amp;$C3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5278</v>
      </c>
      <c r="G3" s="16">
        <f t="array" ref="G3">_xlfn.LET(_xlpm.key,$B3&amp;"|"&amp;$C3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16</v>
      </c>
      <c r="H3" s="17">
        <f t="array" ref="H3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3997</v>
      </c>
      <c r="I3" s="17">
        <f t="array" ref="I3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20</v>
      </c>
      <c r="J3" s="16">
        <f t="array" ref="J3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5998</v>
      </c>
      <c r="K3" s="16">
        <f t="array" ref="K3">_xlfn.LET(_xlpm.key,$B3&amp;"|"&amp;$C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14</v>
      </c>
      <c r="L3" s="16">
        <f t="shared" ref="L3:L15" si="0">J3-H3</f>
        <v>2001</v>
      </c>
      <c r="M3" s="18">
        <f t="shared" ref="M3:M15" si="1">(D3-H3)/H3</f>
        <v>0.275956967725794</v>
      </c>
      <c r="N3" s="18">
        <f t="shared" ref="N3:N15" si="2">(E3-I3)/I3</f>
        <v>-0.25</v>
      </c>
      <c r="O3" s="19">
        <f t="shared" ref="O3:O15" si="3">IFERROR(N3/M3,"")</f>
        <v>-0.905938349954669</v>
      </c>
      <c r="P3" s="19" t="str">
        <f t="shared" ref="P3:P15" si="4">IF(O3="","",IF(O3&gt;0,"只卖不买",IF(O3&gt;-0.3,"只卖不买",IF(O3&gt;=-1.5,"交易区",IF(O3&gt;=-2.5,"谨慎","危险盘")))))</f>
        <v>交易区</v>
      </c>
      <c r="Q3" s="20">
        <f t="shared" ref="Q3:Q15" si="5">(D3-F3)/F3</f>
        <v>-0.0337248957938613</v>
      </c>
      <c r="R3" s="20">
        <f t="shared" ref="R3:R15" si="6">(E3-G3)/G3</f>
        <v>-0.0625</v>
      </c>
      <c r="S3" s="21">
        <f t="shared" ref="S3:S15" si="7">IFERROR(R3/Q3,"")</f>
        <v>1.85323033707865</v>
      </c>
      <c r="T3" s="22" t="str">
        <f t="shared" ref="T3:T15" si="8">IF(S3="","",IF(S3&gt;0,"只卖不买",IF(S3&gt;-0.3,"只卖不买",IF(S3&gt;=-1.5,"交易区",IF(S3&gt;=-2.5,"谨慎","危险盘")))))</f>
        <v>只卖不买</v>
      </c>
      <c r="U3" s="23" t="str">
        <f t="shared" ref="U3:U15" si="9">IF(D3=H3,"历史最低","")</f>
        <v/>
      </c>
    </row>
    <row r="4" spans="2:21">
      <c r="B4" s="14" t="s">
        <v>36</v>
      </c>
      <c r="C4" s="15" t="s">
        <v>35</v>
      </c>
      <c r="D4" s="16">
        <f t="array" ref="D4">_xlfn.LET(_xlpm.key,$B4&amp;"|"&amp;$C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1885</v>
      </c>
      <c r="E4" s="16">
        <f t="array" ref="E4">_xlfn.LET(_xlpm.key,$B4&amp;"|"&amp;$C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44</v>
      </c>
      <c r="F4" s="16">
        <f t="array" ref="F4">_xlfn.LET(_xlpm.key,$B4&amp;"|"&amp;$C4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1859</v>
      </c>
      <c r="G4" s="16">
        <f t="array" ref="G4">_xlfn.LET(_xlpm.key,$B4&amp;"|"&amp;$C4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39</v>
      </c>
      <c r="H4" s="17">
        <f t="array" ref="H4">_xlfn.LET(_xlpm.key,$B4&amp;"|"&amp;$C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1489</v>
      </c>
      <c r="I4" s="17">
        <f t="array" ref="I4">_xlfn.LET(_xlpm.key,$B4&amp;"|"&amp;$C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51</v>
      </c>
      <c r="J4" s="16">
        <f t="array" ref="J4">_xlfn.LET(_xlpm.key,$B4&amp;"|"&amp;$C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1885</v>
      </c>
      <c r="K4" s="16">
        <f t="array" ref="K4">_xlfn.LET(_xlpm.key,$B4&amp;"|"&amp;$C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44</v>
      </c>
      <c r="L4" s="16">
        <f t="shared" si="0"/>
        <v>396</v>
      </c>
      <c r="M4" s="18">
        <f t="shared" si="1"/>
        <v>0.265950302216253</v>
      </c>
      <c r="N4" s="18">
        <f t="shared" si="2"/>
        <v>-0.137254901960784</v>
      </c>
      <c r="O4" s="19">
        <f t="shared" si="3"/>
        <v>-0.51609229550406</v>
      </c>
      <c r="P4" s="19" t="str">
        <f t="shared" si="4"/>
        <v>交易区</v>
      </c>
      <c r="Q4" s="20">
        <f t="shared" si="5"/>
        <v>0.013986013986014</v>
      </c>
      <c r="R4" s="20">
        <f t="shared" si="6"/>
        <v>0.128205128205128</v>
      </c>
      <c r="S4" s="21">
        <f t="shared" si="7"/>
        <v>9.16666666666667</v>
      </c>
      <c r="T4" s="22" t="str">
        <f t="shared" si="8"/>
        <v>只卖不买</v>
      </c>
      <c r="U4" s="23" t="str">
        <f t="shared" si="9"/>
        <v/>
      </c>
    </row>
    <row r="5" spans="2:21">
      <c r="B5" s="14" t="s">
        <v>37</v>
      </c>
      <c r="C5" s="15" t="s">
        <v>38</v>
      </c>
      <c r="D5" s="16">
        <f t="array" ref="D5">_xlfn.LET(_xlpm.key,$B5&amp;"|"&amp;$C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8450</v>
      </c>
      <c r="E5" s="16">
        <f t="array" ref="E5">_xlfn.LET(_xlpm.key,$B5&amp;"|"&amp;$C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9</v>
      </c>
      <c r="F5" s="16">
        <f t="array" ref="F5">_xlfn.LET(_xlpm.key,$B5&amp;"|"&amp;$C5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7000</v>
      </c>
      <c r="G5" s="16">
        <f t="array" ref="G5">_xlfn.LET(_xlpm.key,$B5&amp;"|"&amp;$C5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12</v>
      </c>
      <c r="H5" s="17">
        <f t="array" ref="H5">_xlfn.LET(_xlpm.key,$B5&amp;"|"&amp;$C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6700</v>
      </c>
      <c r="I5" s="17">
        <f t="array" ref="I5">_xlfn.LET(_xlpm.key,$B5&amp;"|"&amp;$C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12</v>
      </c>
      <c r="J5" s="16">
        <f t="array" ref="J5">_xlfn.LET(_xlpm.key,$B5&amp;"|"&amp;$C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8600</v>
      </c>
      <c r="K5" s="16">
        <f t="array" ref="K5">_xlfn.LET(_xlpm.key,$B5&amp;"|"&amp;$C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9</v>
      </c>
      <c r="L5" s="16">
        <f t="shared" si="0"/>
        <v>1900</v>
      </c>
      <c r="M5" s="18">
        <f t="shared" si="1"/>
        <v>0.261194029850746</v>
      </c>
      <c r="N5" s="18">
        <f t="shared" si="2"/>
        <v>-0.25</v>
      </c>
      <c r="O5" s="19">
        <f t="shared" si="3"/>
        <v>-0.957142857142857</v>
      </c>
      <c r="P5" s="19" t="str">
        <f t="shared" si="4"/>
        <v>交易区</v>
      </c>
      <c r="Q5" s="20">
        <f t="shared" si="5"/>
        <v>0.207142857142857</v>
      </c>
      <c r="R5" s="20">
        <f t="shared" si="6"/>
        <v>-0.25</v>
      </c>
      <c r="S5" s="21">
        <f t="shared" si="7"/>
        <v>-1.20689655172414</v>
      </c>
      <c r="T5" s="22" t="str">
        <f t="shared" si="8"/>
        <v>交易区</v>
      </c>
      <c r="U5" s="23" t="str">
        <f t="shared" si="9"/>
        <v/>
      </c>
    </row>
    <row r="6" spans="2:21">
      <c r="B6" s="14" t="s">
        <v>10</v>
      </c>
      <c r="C6" s="15" t="s">
        <v>38</v>
      </c>
      <c r="D6" s="16">
        <f t="array" ref="D6">_xlfn.LET(_xlpm.key,$B6&amp;"|"&amp;$C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2595</v>
      </c>
      <c r="E6" s="16">
        <f t="array" ref="E6">_xlfn.LET(_xlpm.key,$B6&amp;"|"&amp;$C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31</v>
      </c>
      <c r="F6" s="16">
        <f t="array" ref="F6">_xlfn.LET(_xlpm.key,$B6&amp;"|"&amp;$C6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2397</v>
      </c>
      <c r="G6" s="16">
        <f t="array" ref="G6">_xlfn.LET(_xlpm.key,$B6&amp;"|"&amp;$C6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30</v>
      </c>
      <c r="H6" s="17">
        <f t="array" ref="H6">_xlfn.LET(_xlpm.key,$B6&amp;"|"&amp;$C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2299</v>
      </c>
      <c r="I6" s="17">
        <f t="array" ref="I6">_xlfn.LET(_xlpm.key,$B6&amp;"|"&amp;$C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34</v>
      </c>
      <c r="J6" s="16">
        <f t="array" ref="J6">_xlfn.LET(_xlpm.key,$B6&amp;"|"&amp;$C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2799</v>
      </c>
      <c r="K6" s="16">
        <f t="array" ref="K6">_xlfn.LET(_xlpm.key,$B6&amp;"|"&amp;$C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23</v>
      </c>
      <c r="L6" s="16">
        <f t="shared" si="0"/>
        <v>500</v>
      </c>
      <c r="M6" s="18">
        <f t="shared" si="1"/>
        <v>0.128751631143976</v>
      </c>
      <c r="N6" s="18">
        <f t="shared" si="2"/>
        <v>-0.0882352941176471</v>
      </c>
      <c r="O6" s="19">
        <f t="shared" si="3"/>
        <v>-0.685313990461049</v>
      </c>
      <c r="P6" s="19" t="str">
        <f t="shared" si="4"/>
        <v>交易区</v>
      </c>
      <c r="Q6" s="20">
        <f t="shared" si="5"/>
        <v>0.0826032540675845</v>
      </c>
      <c r="R6" s="20">
        <f t="shared" si="6"/>
        <v>0.0333333333333333</v>
      </c>
      <c r="S6" s="21">
        <f t="shared" si="7"/>
        <v>0.403535353535354</v>
      </c>
      <c r="T6" s="22" t="str">
        <f t="shared" si="8"/>
        <v>只卖不买</v>
      </c>
      <c r="U6" s="23" t="str">
        <f t="shared" si="9"/>
        <v/>
      </c>
    </row>
    <row r="7" spans="2:21">
      <c r="B7" s="14" t="s">
        <v>39</v>
      </c>
      <c r="C7" s="15" t="s">
        <v>40</v>
      </c>
      <c r="D7" s="16">
        <f t="array" ref="D7">_xlfn.LET(_xlpm.key,$B7&amp;"|"&amp;$C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1550</v>
      </c>
      <c r="E7" s="16">
        <f t="array" ref="E7">_xlfn.LET(_xlpm.key,$B7&amp;"|"&amp;$C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44</v>
      </c>
      <c r="F7" s="16">
        <f t="array" ref="F7">_xlfn.LET(_xlpm.key,$B7&amp;"|"&amp;$C7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1779</v>
      </c>
      <c r="G7" s="16">
        <f t="array" ref="G7">_xlfn.LET(_xlpm.key,$B7&amp;"|"&amp;$C7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40</v>
      </c>
      <c r="H7" s="17">
        <f t="array" ref="H7">_xlfn.LET(_xlpm.key,$B7&amp;"|"&amp;$C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1400</v>
      </c>
      <c r="I7" s="17">
        <f t="array" ref="I7">_xlfn.LET(_xlpm.key,$B7&amp;"|"&amp;$C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52</v>
      </c>
      <c r="J7" s="16">
        <f t="array" ref="J7">_xlfn.LET(_xlpm.key,$B7&amp;"|"&amp;$C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1779</v>
      </c>
      <c r="K7" s="16">
        <f t="array" ref="K7">_xlfn.LET(_xlpm.key,$B7&amp;"|"&amp;$C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40</v>
      </c>
      <c r="L7" s="16">
        <f t="shared" si="0"/>
        <v>379</v>
      </c>
      <c r="M7" s="18">
        <f t="shared" si="1"/>
        <v>0.107142857142857</v>
      </c>
      <c r="N7" s="18">
        <f t="shared" si="2"/>
        <v>-0.153846153846154</v>
      </c>
      <c r="O7" s="19">
        <f t="shared" si="3"/>
        <v>-1.43589743589744</v>
      </c>
      <c r="P7" s="19" t="str">
        <f t="shared" si="4"/>
        <v>交易区</v>
      </c>
      <c r="Q7" s="20">
        <f t="shared" si="5"/>
        <v>-0.128724002248454</v>
      </c>
      <c r="R7" s="20">
        <f t="shared" si="6"/>
        <v>0.1</v>
      </c>
      <c r="S7" s="21">
        <f t="shared" si="7"/>
        <v>-0.776855895196507</v>
      </c>
      <c r="T7" s="22" t="str">
        <f t="shared" si="8"/>
        <v>交易区</v>
      </c>
      <c r="U7" s="23" t="str">
        <f t="shared" si="9"/>
        <v/>
      </c>
    </row>
    <row r="8" spans="2:21">
      <c r="B8" s="14" t="s">
        <v>41</v>
      </c>
      <c r="C8" s="15" t="s">
        <v>42</v>
      </c>
      <c r="D8" s="16">
        <f t="array" ref="D8">_xlfn.LET(_xlpm.key,$B8&amp;"|"&amp;$C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4887</v>
      </c>
      <c r="E8" s="16">
        <f t="array" ref="E8">_xlfn.LET(_xlpm.key,$B8&amp;"|"&amp;$C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11</v>
      </c>
      <c r="F8" s="16">
        <f t="array" ref="F8">_xlfn.LET(_xlpm.key,$B8&amp;"|"&amp;$C8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4555</v>
      </c>
      <c r="G8" s="16">
        <f t="array" ref="G8">_xlfn.LET(_xlpm.key,$B8&amp;"|"&amp;$C8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13</v>
      </c>
      <c r="H8" s="17">
        <f t="array" ref="H8">_xlfn.LET(_xlpm.key,$B8&amp;"|"&amp;$C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4555</v>
      </c>
      <c r="I8" s="17">
        <f t="array" ref="I8">_xlfn.LET(_xlpm.key,$B8&amp;"|"&amp;$C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13</v>
      </c>
      <c r="J8" s="16">
        <f t="array" ref="J8">_xlfn.LET(_xlpm.key,$B8&amp;"|"&amp;$C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5500</v>
      </c>
      <c r="K8" s="16">
        <f t="array" ref="K8">_xlfn.LET(_xlpm.key,$B8&amp;"|"&amp;$C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9</v>
      </c>
      <c r="L8" s="16">
        <f t="shared" si="0"/>
        <v>945</v>
      </c>
      <c r="M8" s="18">
        <f t="shared" si="1"/>
        <v>0.0728869374313941</v>
      </c>
      <c r="N8" s="18">
        <f t="shared" si="2"/>
        <v>-0.153846153846154</v>
      </c>
      <c r="O8" s="19">
        <f t="shared" si="3"/>
        <v>-2.11075069508804</v>
      </c>
      <c r="P8" s="19" t="str">
        <f t="shared" si="4"/>
        <v>谨慎</v>
      </c>
      <c r="Q8" s="20">
        <f t="shared" si="5"/>
        <v>0.0728869374313941</v>
      </c>
      <c r="R8" s="20">
        <f t="shared" si="6"/>
        <v>-0.153846153846154</v>
      </c>
      <c r="S8" s="21">
        <f t="shared" si="7"/>
        <v>-2.11075069508804</v>
      </c>
      <c r="T8" s="22" t="str">
        <f t="shared" si="8"/>
        <v>谨慎</v>
      </c>
      <c r="U8" s="23" t="str">
        <f t="shared" si="9"/>
        <v/>
      </c>
    </row>
    <row r="9" spans="2:21">
      <c r="B9" s="14" t="s">
        <v>8</v>
      </c>
      <c r="C9" s="15" t="s">
        <v>38</v>
      </c>
      <c r="D9" s="16">
        <f t="array" ref="D9">_xlfn.LET(_xlpm.key,$B9&amp;"|"&amp;$C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1819</v>
      </c>
      <c r="E9" s="16">
        <f t="array" ref="E9">_xlfn.LET(_xlpm.key,$B9&amp;"|"&amp;$C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44</v>
      </c>
      <c r="F9" s="16">
        <f t="array" ref="F9">_xlfn.LET(_xlpm.key,$B9&amp;"|"&amp;$C9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1749</v>
      </c>
      <c r="G9" s="16">
        <f t="array" ref="G9">_xlfn.LET(_xlpm.key,$B9&amp;"|"&amp;$C9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46</v>
      </c>
      <c r="H9" s="17">
        <f t="array" ref="H9">_xlfn.LET(_xlpm.key,$B9&amp;"|"&amp;$C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1700</v>
      </c>
      <c r="I9" s="17">
        <f t="array" ref="I9">_xlfn.LET(_xlpm.key,$B9&amp;"|"&amp;$C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39</v>
      </c>
      <c r="J9" s="16">
        <f t="array" ref="J9">_xlfn.LET(_xlpm.key,$B9&amp;"|"&amp;$C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1947</v>
      </c>
      <c r="K9" s="16">
        <f t="array" ref="K9">_xlfn.LET(_xlpm.key,$B9&amp;"|"&amp;$C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41</v>
      </c>
      <c r="L9" s="16">
        <f t="shared" si="0"/>
        <v>247</v>
      </c>
      <c r="M9" s="18">
        <f t="shared" si="1"/>
        <v>0.07</v>
      </c>
      <c r="N9" s="18">
        <f t="shared" si="2"/>
        <v>0.128205128205128</v>
      </c>
      <c r="O9" s="19">
        <f t="shared" si="3"/>
        <v>1.83150183150183</v>
      </c>
      <c r="P9" s="19" t="str">
        <f t="shared" si="4"/>
        <v>只卖不买</v>
      </c>
      <c r="Q9" s="20">
        <f t="shared" si="5"/>
        <v>0.0400228702115495</v>
      </c>
      <c r="R9" s="20">
        <f t="shared" si="6"/>
        <v>-0.0434782608695652</v>
      </c>
      <c r="S9" s="21">
        <f t="shared" si="7"/>
        <v>-1.08633540372671</v>
      </c>
      <c r="T9" s="22" t="str">
        <f t="shared" si="8"/>
        <v>交易区</v>
      </c>
      <c r="U9" s="23" t="str">
        <f t="shared" si="9"/>
        <v/>
      </c>
    </row>
    <row r="10" spans="2:21">
      <c r="B10" s="14" t="s">
        <v>7</v>
      </c>
      <c r="C10" s="15" t="s">
        <v>38</v>
      </c>
      <c r="D10" s="16">
        <f t="array" ref="D10">_xlfn.LET(_xlpm.key,$B10&amp;"|"&amp;$C10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1890</v>
      </c>
      <c r="E10" s="16">
        <f t="array" ref="E10">_xlfn.LET(_xlpm.key,$B10&amp;"|"&amp;$C10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36</v>
      </c>
      <c r="F10" s="16">
        <f t="array" ref="F10">_xlfn.LET(_xlpm.key,$B10&amp;"|"&amp;$C10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1929</v>
      </c>
      <c r="G10" s="16">
        <f t="array" ref="G10">_xlfn.LET(_xlpm.key,$B10&amp;"|"&amp;$C10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37</v>
      </c>
      <c r="H10" s="17">
        <f t="array" ref="H10">_xlfn.LET(_xlpm.key,$B10&amp;"|"&amp;$C10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1799</v>
      </c>
      <c r="I10" s="17">
        <f t="array" ref="I10">_xlfn.LET(_xlpm.key,$B10&amp;"|"&amp;$C10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38</v>
      </c>
      <c r="J10" s="16">
        <f t="array" ref="J10">_xlfn.LET(_xlpm.key,$B10&amp;"|"&amp;$C10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1996</v>
      </c>
      <c r="K10" s="16">
        <f t="array" ref="K10">_xlfn.LET(_xlpm.key,$B10&amp;"|"&amp;$C10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33</v>
      </c>
      <c r="L10" s="16">
        <f t="shared" si="0"/>
        <v>197</v>
      </c>
      <c r="M10" s="18">
        <f t="shared" si="1"/>
        <v>0.0505836575875486</v>
      </c>
      <c r="N10" s="18">
        <f t="shared" si="2"/>
        <v>-0.0526315789473684</v>
      </c>
      <c r="O10" s="19">
        <f t="shared" si="3"/>
        <v>-1.04048582995951</v>
      </c>
      <c r="P10" s="19" t="str">
        <f t="shared" si="4"/>
        <v>交易区</v>
      </c>
      <c r="Q10" s="20">
        <f t="shared" si="5"/>
        <v>-0.0202177293934681</v>
      </c>
      <c r="R10" s="20">
        <f t="shared" si="6"/>
        <v>-0.027027027027027</v>
      </c>
      <c r="S10" s="21">
        <f t="shared" si="7"/>
        <v>1.33679833679834</v>
      </c>
      <c r="T10" s="22" t="str">
        <f t="shared" si="8"/>
        <v>只卖不买</v>
      </c>
      <c r="U10" s="23" t="str">
        <f t="shared" si="9"/>
        <v/>
      </c>
    </row>
    <row r="11" spans="2:21">
      <c r="B11" s="14" t="s">
        <v>43</v>
      </c>
      <c r="C11" s="15" t="s">
        <v>38</v>
      </c>
      <c r="D11" s="16">
        <f t="array" ref="D11">_xlfn.LET(_xlpm.key,$B11&amp;"|"&amp;$C11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1550</v>
      </c>
      <c r="E11" s="16">
        <f t="array" ref="E11">_xlfn.LET(_xlpm.key,$B11&amp;"|"&amp;$C11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47</v>
      </c>
      <c r="F11" s="16">
        <f t="array" ref="F11">_xlfn.LET(_xlpm.key,$B11&amp;"|"&amp;$C11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1538</v>
      </c>
      <c r="G11" s="16">
        <f t="array" ref="G11">_xlfn.LET(_xlpm.key,$B11&amp;"|"&amp;$C11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51</v>
      </c>
      <c r="H11" s="17">
        <f t="array" ref="H11">_xlfn.LET(_xlpm.key,$B11&amp;"|"&amp;$C11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1488</v>
      </c>
      <c r="I11" s="17">
        <f t="array" ref="I11">_xlfn.LET(_xlpm.key,$B11&amp;"|"&amp;$C11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54</v>
      </c>
      <c r="J11" s="16">
        <f t="array" ref="J11">_xlfn.LET(_xlpm.key,$B11&amp;"|"&amp;$C11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1698</v>
      </c>
      <c r="K11" s="16">
        <f t="array" ref="K11">_xlfn.LET(_xlpm.key,$B11&amp;"|"&amp;$C11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40</v>
      </c>
      <c r="L11" s="16">
        <f t="shared" si="0"/>
        <v>210</v>
      </c>
      <c r="M11" s="18">
        <f t="shared" si="1"/>
        <v>0.0416666666666667</v>
      </c>
      <c r="N11" s="18">
        <f t="shared" si="2"/>
        <v>-0.12962962962963</v>
      </c>
      <c r="O11" s="19">
        <f t="shared" si="3"/>
        <v>-3.11111111111111</v>
      </c>
      <c r="P11" s="19" t="str">
        <f t="shared" si="4"/>
        <v>危险盘</v>
      </c>
      <c r="Q11" s="20">
        <f t="shared" si="5"/>
        <v>0.00780234070221066</v>
      </c>
      <c r="R11" s="20">
        <f t="shared" si="6"/>
        <v>-0.0784313725490196</v>
      </c>
      <c r="S11" s="21">
        <f t="shared" si="7"/>
        <v>-10.0522875816993</v>
      </c>
      <c r="T11" s="22" t="str">
        <f t="shared" si="8"/>
        <v>危险盘</v>
      </c>
      <c r="U11" s="23" t="str">
        <f t="shared" si="9"/>
        <v/>
      </c>
    </row>
    <row r="12" spans="2:21">
      <c r="B12" s="14" t="s">
        <v>44</v>
      </c>
      <c r="C12" s="15" t="s">
        <v>38</v>
      </c>
      <c r="D12" s="16">
        <f t="array" ref="D12">_xlfn.LET(_xlpm.key,$B12&amp;"|"&amp;$C12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1900</v>
      </c>
      <c r="E12" s="16">
        <f t="array" ref="E12">_xlfn.LET(_xlpm.key,$B12&amp;"|"&amp;$C12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39</v>
      </c>
      <c r="F12" s="16">
        <f t="array" ref="F12">_xlfn.LET(_xlpm.key,$B12&amp;"|"&amp;$C12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1954</v>
      </c>
      <c r="G12" s="16">
        <f t="array" ref="G12">_xlfn.LET(_xlpm.key,$B12&amp;"|"&amp;$C12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39</v>
      </c>
      <c r="H12" s="17">
        <f t="array" ref="H12">_xlfn.LET(_xlpm.key,$B12&amp;"|"&amp;$C12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1880</v>
      </c>
      <c r="I12" s="17">
        <f t="array" ref="I12">_xlfn.LET(_xlpm.key,$B12&amp;"|"&amp;$C12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38</v>
      </c>
      <c r="J12" s="16">
        <f t="array" ref="J12">_xlfn.LET(_xlpm.key,$B12&amp;"|"&amp;$C12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2139</v>
      </c>
      <c r="K12" s="16">
        <f t="array" ref="K12">_xlfn.LET(_xlpm.key,$B12&amp;"|"&amp;$C12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31</v>
      </c>
      <c r="L12" s="16">
        <f t="shared" si="0"/>
        <v>259</v>
      </c>
      <c r="M12" s="18">
        <f t="shared" si="1"/>
        <v>0.0106382978723404</v>
      </c>
      <c r="N12" s="18">
        <f t="shared" si="2"/>
        <v>0.0263157894736842</v>
      </c>
      <c r="O12" s="19">
        <f t="shared" si="3"/>
        <v>2.47368421052632</v>
      </c>
      <c r="P12" s="19" t="str">
        <f t="shared" si="4"/>
        <v>只卖不买</v>
      </c>
      <c r="Q12" s="20">
        <f t="shared" si="5"/>
        <v>-0.0276356192425793</v>
      </c>
      <c r="R12" s="20">
        <f t="shared" si="6"/>
        <v>0</v>
      </c>
      <c r="S12" s="21">
        <f t="shared" si="7"/>
        <v>0</v>
      </c>
      <c r="T12" s="22" t="str">
        <f t="shared" si="8"/>
        <v>只卖不买</v>
      </c>
      <c r="U12" s="23" t="str">
        <f t="shared" si="9"/>
        <v/>
      </c>
    </row>
    <row r="13" spans="2:21">
      <c r="B13" s="14" t="s">
        <v>9</v>
      </c>
      <c r="C13" s="15" t="s">
        <v>45</v>
      </c>
      <c r="D13" s="16">
        <f t="array" ref="D13">_xlfn.LET(_xlpm.key,$B13&amp;"|"&amp;$C13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1800</v>
      </c>
      <c r="E13" s="16">
        <f t="array" ref="E13">_xlfn.LET(_xlpm.key,$B13&amp;"|"&amp;$C13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34</v>
      </c>
      <c r="F13" s="16">
        <f t="array" ref="F13">_xlfn.LET(_xlpm.key,$B13&amp;"|"&amp;$C13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1949</v>
      </c>
      <c r="G13" s="16">
        <f t="array" ref="G13">_xlfn.LET(_xlpm.key,$B13&amp;"|"&amp;$C13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32</v>
      </c>
      <c r="H13" s="17">
        <f t="array" ref="H13">_xlfn.LET(_xlpm.key,$B13&amp;"|"&amp;$C13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1800</v>
      </c>
      <c r="I13" s="17">
        <f t="array" ref="I13">_xlfn.LET(_xlpm.key,$B13&amp;"|"&amp;$C13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34</v>
      </c>
      <c r="J13" s="16">
        <f t="array" ref="J13">_xlfn.LET(_xlpm.key,$B13&amp;"|"&amp;$C13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2200</v>
      </c>
      <c r="K13" s="16">
        <f t="array" ref="K13">_xlfn.LET(_xlpm.key,$B13&amp;"|"&amp;$C13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28</v>
      </c>
      <c r="L13" s="16">
        <f t="shared" si="0"/>
        <v>400</v>
      </c>
      <c r="M13" s="18">
        <f t="shared" si="1"/>
        <v>0</v>
      </c>
      <c r="N13" s="18">
        <f t="shared" si="2"/>
        <v>0</v>
      </c>
      <c r="O13" s="19" t="str">
        <f t="shared" si="3"/>
        <v/>
      </c>
      <c r="P13" s="19" t="str">
        <f t="shared" si="4"/>
        <v/>
      </c>
      <c r="Q13" s="20">
        <f t="shared" si="5"/>
        <v>-0.0764494612621857</v>
      </c>
      <c r="R13" s="20">
        <f t="shared" si="6"/>
        <v>0.0625</v>
      </c>
      <c r="S13" s="21">
        <f t="shared" si="7"/>
        <v>-0.81753355704698</v>
      </c>
      <c r="T13" s="22" t="str">
        <f t="shared" si="8"/>
        <v>交易区</v>
      </c>
      <c r="U13" s="23" t="str">
        <f t="shared" si="9"/>
        <v>历史最低</v>
      </c>
    </row>
    <row r="14" spans="2:21">
      <c r="B14" s="14" t="s">
        <v>46</v>
      </c>
      <c r="C14" s="15" t="s">
        <v>45</v>
      </c>
      <c r="D14" s="16">
        <f t="array" ref="D14">_xlfn.LET(_xlpm.key,$B14&amp;"|"&amp;$C14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3766</v>
      </c>
      <c r="E14" s="16">
        <f t="array" ref="E14">_xlfn.LET(_xlpm.key,$B14&amp;"|"&amp;$C14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16</v>
      </c>
      <c r="F14" s="16">
        <f t="array" ref="F14">_xlfn.LET(_xlpm.key,$B14&amp;"|"&amp;$C14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3900</v>
      </c>
      <c r="G14" s="16">
        <f t="array" ref="G14">_xlfn.LET(_xlpm.key,$B14&amp;"|"&amp;$C14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14</v>
      </c>
      <c r="H14" s="17">
        <f t="array" ref="H14">_xlfn.LET(_xlpm.key,$B14&amp;"|"&amp;$C14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3766</v>
      </c>
      <c r="I14" s="17">
        <f t="array" ref="I14">_xlfn.LET(_xlpm.key,$B14&amp;"|"&amp;$C14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16</v>
      </c>
      <c r="J14" s="16">
        <f t="array" ref="J14">_xlfn.LET(_xlpm.key,$B14&amp;"|"&amp;$C14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4700</v>
      </c>
      <c r="K14" s="16">
        <f t="array" ref="K14">_xlfn.LET(_xlpm.key,$B14&amp;"|"&amp;$C14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14</v>
      </c>
      <c r="L14" s="16">
        <f t="shared" si="0"/>
        <v>934</v>
      </c>
      <c r="M14" s="18">
        <f t="shared" si="1"/>
        <v>0</v>
      </c>
      <c r="N14" s="18">
        <f t="shared" si="2"/>
        <v>0</v>
      </c>
      <c r="O14" s="19" t="str">
        <f t="shared" si="3"/>
        <v/>
      </c>
      <c r="P14" s="19" t="str">
        <f t="shared" si="4"/>
        <v/>
      </c>
      <c r="Q14" s="20">
        <f t="shared" si="5"/>
        <v>-0.0343589743589744</v>
      </c>
      <c r="R14" s="20">
        <f t="shared" si="6"/>
        <v>0.142857142857143</v>
      </c>
      <c r="S14" s="21">
        <f t="shared" si="7"/>
        <v>-4.15778251599147</v>
      </c>
      <c r="T14" s="22" t="str">
        <f t="shared" si="8"/>
        <v>危险盘</v>
      </c>
      <c r="U14" s="23" t="str">
        <f t="shared" si="9"/>
        <v>历史最低</v>
      </c>
    </row>
    <row r="15" ht="14.25" spans="2:21">
      <c r="B15" s="24" t="s">
        <v>47</v>
      </c>
      <c r="C15" s="25" t="s">
        <v>38</v>
      </c>
      <c r="D15" s="26">
        <f t="array" ref="D15">_xlfn.LET(_xlpm.key,$B15&amp;"|"&amp;$C15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8500</v>
      </c>
      <c r="E15" s="26">
        <f t="array" ref="E15">_xlfn.LET(_xlpm.key,$B15&amp;"|"&amp;$C15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8</v>
      </c>
      <c r="F15" s="26">
        <f t="array" ref="F15">_xlfn.LET(_xlpm.key,$B15&amp;"|"&amp;$C15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8500</v>
      </c>
      <c r="G15" s="26">
        <f t="array" ref="G15">_xlfn.LET(_xlpm.key,$B15&amp;"|"&amp;$C15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8</v>
      </c>
      <c r="H15" s="27">
        <f t="array" ref="H15">_xlfn.LET(_xlpm.key,$B15&amp;"|"&amp;$C15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8500</v>
      </c>
      <c r="I15" s="27">
        <f t="array" ref="I15">_xlfn.LET(_xlpm.key,$B15&amp;"|"&amp;$C15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8</v>
      </c>
      <c r="J15" s="26">
        <f t="array" ref="J15">_xlfn.LET(_xlpm.key,$B15&amp;"|"&amp;$C15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10000</v>
      </c>
      <c r="K15" s="26">
        <f t="array" ref="K15">_xlfn.LET(_xlpm.key,$B15&amp;"|"&amp;$C15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6</v>
      </c>
      <c r="L15" s="26">
        <f t="shared" si="0"/>
        <v>1500</v>
      </c>
      <c r="M15" s="28">
        <f t="shared" si="1"/>
        <v>0</v>
      </c>
      <c r="N15" s="28">
        <f t="shared" si="2"/>
        <v>0</v>
      </c>
      <c r="O15" s="29" t="str">
        <f t="shared" si="3"/>
        <v/>
      </c>
      <c r="P15" s="29" t="str">
        <f t="shared" si="4"/>
        <v/>
      </c>
      <c r="Q15" s="30">
        <f t="shared" si="5"/>
        <v>0</v>
      </c>
      <c r="R15" s="30">
        <f t="shared" si="6"/>
        <v>0</v>
      </c>
      <c r="S15" s="31" t="str">
        <f t="shared" si="7"/>
        <v/>
      </c>
      <c r="T15" s="32" t="str">
        <f t="shared" si="8"/>
        <v/>
      </c>
      <c r="U15" s="33" t="str">
        <f t="shared" si="9"/>
        <v>历史最低</v>
      </c>
    </row>
    <row r="16" ht="14.25" spans="2:21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  <c r="R16" s="36"/>
      <c r="S16" s="34"/>
      <c r="T16" s="34"/>
      <c r="U16" s="34"/>
    </row>
    <row r="17" customFormat="1" ht="14.25" spans="2:21">
      <c r="B17" s="37" t="s">
        <v>16</v>
      </c>
      <c r="C17" s="38" t="s">
        <v>17</v>
      </c>
      <c r="D17" s="39" t="s">
        <v>4</v>
      </c>
      <c r="E17" s="39" t="s">
        <v>18</v>
      </c>
      <c r="F17" s="39" t="s">
        <v>19</v>
      </c>
      <c r="G17" s="39" t="s">
        <v>20</v>
      </c>
      <c r="H17" s="38" t="s">
        <v>21</v>
      </c>
      <c r="I17" s="38" t="s">
        <v>22</v>
      </c>
      <c r="J17" s="39" t="s">
        <v>48</v>
      </c>
      <c r="K17" s="40" t="s">
        <v>26</v>
      </c>
      <c r="L17" s="40" t="s">
        <v>27</v>
      </c>
      <c r="M17" s="39" t="s">
        <v>28</v>
      </c>
      <c r="N17" s="39" t="s">
        <v>29</v>
      </c>
      <c r="O17" s="41" t="s">
        <v>30</v>
      </c>
      <c r="P17" s="42" t="s">
        <v>31</v>
      </c>
      <c r="Q17" s="43" t="s">
        <v>32</v>
      </c>
      <c r="R17" s="41" t="s">
        <v>33</v>
      </c>
      <c r="S17" s="41" t="s">
        <v>49</v>
      </c>
      <c r="T17" s="38" t="s">
        <v>23</v>
      </c>
      <c r="U17" s="44" t="s">
        <v>24</v>
      </c>
    </row>
    <row r="18" spans="2:21">
      <c r="B18" s="14" t="s">
        <v>50</v>
      </c>
      <c r="C18" s="15" t="s">
        <v>35</v>
      </c>
      <c r="D18" s="16">
        <f t="array" ref="D18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0</v>
      </c>
      <c r="E18" s="16">
        <f t="array" ref="E18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0</v>
      </c>
      <c r="F18" s="16">
        <f t="array" ref="F18">_xlfn.LET(_xlpm.key,$B18&amp;"|"&amp;$C18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0</v>
      </c>
      <c r="G18" s="16">
        <f t="array" ref="G18">_xlfn.LET(_xlpm.key,$B18&amp;"|"&amp;$C18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0</v>
      </c>
      <c r="H18" s="17">
        <f t="array" ref="H18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0</v>
      </c>
      <c r="I18" s="17">
        <f t="array" ref="I18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0</v>
      </c>
      <c r="J18" s="16" t="str">
        <f t="shared" ref="J18:J38" si="10">IF(D18=H18,"历史最低","")</f>
        <v>历史最低</v>
      </c>
      <c r="K18" s="18" t="e">
        <f t="shared" ref="K18:K38" si="11">(D18-H18)/H18</f>
        <v>#DIV/0!</v>
      </c>
      <c r="L18" s="18" t="e">
        <f t="shared" ref="L18:L38" si="12">(E18-I18)/I18</f>
        <v>#DIV/0!</v>
      </c>
      <c r="M18" s="19" t="str">
        <f t="shared" ref="M18:M38" si="13">IFERROR(L18/K18,"")</f>
        <v/>
      </c>
      <c r="N18" s="19" t="str">
        <f t="shared" ref="N18:N38" si="14">IF(M18="","",IF(M18&gt;0,"只卖不买",IF(M18&gt;-0.3,"只卖不买",IF(M18&gt;=-1.5,"交易区",IF(M18&gt;=-2.5,"谨慎","危险盘")))))</f>
        <v/>
      </c>
      <c r="O18" s="20" t="e">
        <f t="shared" ref="O18:O38" si="15">(D18-F18)/F18</f>
        <v>#DIV/0!</v>
      </c>
      <c r="P18" s="20" t="e">
        <f t="shared" ref="P18:P38" si="16">(E18-G18)/G18</f>
        <v>#DIV/0!</v>
      </c>
      <c r="Q18" s="21" t="str">
        <f t="shared" ref="Q18:Q38" si="17">IFERROR(P18/O18,"")</f>
        <v/>
      </c>
      <c r="R18" s="22" t="str">
        <f t="shared" ref="R18:R38" si="18">IF(Q18="","",IF(Q18&gt;0,"只卖不买",IF(Q18&gt;-0.3,"只卖不买",IF(Q18&gt;=-1.5,"交易区",IF(Q18&gt;=-2.5,"谨慎","危险盘")))))</f>
        <v/>
      </c>
      <c r="S18" s="22" t="str">
        <f t="shared" ref="S18:S38" si="19">IF(AND(N18="交易区",R18="交易区"),"双绿","")</f>
        <v/>
      </c>
      <c r="T18" s="17">
        <f t="array" ref="T18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150000</v>
      </c>
      <c r="U18" s="45">
        <f t="array" ref="U18">_xlfn.LET(_xlpm.key,$B18&amp;"|"&amp;$C18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1</v>
      </c>
    </row>
    <row r="19" spans="2:21">
      <c r="B19" s="14" t="s">
        <v>51</v>
      </c>
      <c r="C19" s="15" t="s">
        <v>38</v>
      </c>
      <c r="D19" s="16">
        <f t="array" ref="D19">_xlfn.LET(_xlpm.key,$B19&amp;"|"&amp;$C19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27000</v>
      </c>
      <c r="E19" s="16">
        <f t="array" ref="E19">_xlfn.LET(_xlpm.key,$B19&amp;"|"&amp;$C19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2</v>
      </c>
      <c r="F19" s="16">
        <f t="array" ref="F19">_xlfn.LET(_xlpm.key,$B19&amp;"|"&amp;$C19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27000</v>
      </c>
      <c r="G19" s="16">
        <f t="array" ref="G19">_xlfn.LET(_xlpm.key,$B19&amp;"|"&amp;$C19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</v>
      </c>
      <c r="H19" s="17">
        <f t="array" ref="H19">_xlfn.LET(_xlpm.key,$B19&amp;"|"&amp;$C19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15200</v>
      </c>
      <c r="I19" s="17">
        <f t="array" ref="I19">_xlfn.LET(_xlpm.key,$B19&amp;"|"&amp;$C19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8</v>
      </c>
      <c r="J19" s="16" t="str">
        <f t="shared" si="10"/>
        <v/>
      </c>
      <c r="K19" s="18">
        <f t="shared" si="11"/>
        <v>0.776315789473684</v>
      </c>
      <c r="L19" s="18">
        <f t="shared" si="12"/>
        <v>-0.75</v>
      </c>
      <c r="M19" s="19">
        <f t="shared" si="13"/>
        <v>-0.966101694915254</v>
      </c>
      <c r="N19" s="19" t="str">
        <f t="shared" si="14"/>
        <v>交易区</v>
      </c>
      <c r="O19" s="20">
        <f t="shared" si="15"/>
        <v>0</v>
      </c>
      <c r="P19" s="20">
        <f t="shared" si="16"/>
        <v>-0.333333333333333</v>
      </c>
      <c r="Q19" s="21" t="str">
        <f t="shared" si="17"/>
        <v/>
      </c>
      <c r="R19" s="22" t="str">
        <f t="shared" si="18"/>
        <v/>
      </c>
      <c r="S19" s="22" t="str">
        <f t="shared" si="19"/>
        <v/>
      </c>
      <c r="T19" s="17">
        <f t="array" ref="T19">_xlfn.LET(_xlpm.key,$B19&amp;"|"&amp;$C19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27000</v>
      </c>
      <c r="U19" s="45">
        <f t="array" ref="U19">_xlfn.LET(_xlpm.key,$B19&amp;"|"&amp;$C19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2</v>
      </c>
    </row>
    <row r="20" spans="2:21">
      <c r="B20" s="14" t="s">
        <v>52</v>
      </c>
      <c r="C20" s="15" t="s">
        <v>38</v>
      </c>
      <c r="D20" s="16">
        <f t="array" ref="D20">_xlfn.LET(_xlpm.key,$B20&amp;"|"&amp;$C20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32500</v>
      </c>
      <c r="E20" s="16">
        <f t="array" ref="E20">_xlfn.LET(_xlpm.key,$B20&amp;"|"&amp;$C20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3</v>
      </c>
      <c r="F20" s="16">
        <f t="array" ref="F20">_xlfn.LET(_xlpm.key,$B20&amp;"|"&amp;$C20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20000</v>
      </c>
      <c r="G20" s="16">
        <f t="array" ref="G20">_xlfn.LET(_xlpm.key,$B20&amp;"|"&amp;$C20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4</v>
      </c>
      <c r="H20" s="17">
        <f t="array" ref="H20">_xlfn.LET(_xlpm.key,$B20&amp;"|"&amp;$C20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20000</v>
      </c>
      <c r="I20" s="17">
        <f t="array" ref="I20">_xlfn.LET(_xlpm.key,$B20&amp;"|"&amp;$C20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4</v>
      </c>
      <c r="J20" s="16" t="str">
        <f t="shared" si="10"/>
        <v/>
      </c>
      <c r="K20" s="18">
        <f t="shared" si="11"/>
        <v>0.625</v>
      </c>
      <c r="L20" s="18">
        <f t="shared" si="12"/>
        <v>-0.25</v>
      </c>
      <c r="M20" s="19">
        <f t="shared" si="13"/>
        <v>-0.4</v>
      </c>
      <c r="N20" s="19" t="str">
        <f t="shared" si="14"/>
        <v>交易区</v>
      </c>
      <c r="O20" s="20">
        <f t="shared" si="15"/>
        <v>0.625</v>
      </c>
      <c r="P20" s="20">
        <f t="shared" si="16"/>
        <v>-0.25</v>
      </c>
      <c r="Q20" s="21">
        <f t="shared" si="17"/>
        <v>-0.4</v>
      </c>
      <c r="R20" s="22" t="str">
        <f t="shared" si="18"/>
        <v>交易区</v>
      </c>
      <c r="S20" s="22" t="str">
        <f t="shared" si="19"/>
        <v>双绿</v>
      </c>
      <c r="T20" s="17">
        <f t="array" ref="T20">_xlfn.LET(_xlpm.key,$B20&amp;"|"&amp;$C20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32500</v>
      </c>
      <c r="U20" s="45">
        <f t="array" ref="U20">_xlfn.LET(_xlpm.key,$B20&amp;"|"&amp;$C20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3</v>
      </c>
    </row>
    <row r="21" spans="2:21">
      <c r="B21" s="14" t="s">
        <v>53</v>
      </c>
      <c r="C21" s="15" t="s">
        <v>38</v>
      </c>
      <c r="D21" s="16">
        <f t="array" ref="D21">_xlfn.LET(_xlpm.key,$B21&amp;"|"&amp;$C21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22000</v>
      </c>
      <c r="E21" s="16">
        <f t="array" ref="E21">_xlfn.LET(_xlpm.key,$B21&amp;"|"&amp;$C21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5</v>
      </c>
      <c r="F21" s="16">
        <f t="array" ref="F21">_xlfn.LET(_xlpm.key,$B21&amp;"|"&amp;$C21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15000</v>
      </c>
      <c r="G21" s="16">
        <f t="array" ref="G21">_xlfn.LET(_xlpm.key,$B21&amp;"|"&amp;$C21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7</v>
      </c>
      <c r="H21" s="17">
        <f t="array" ref="H21">_xlfn.LET(_xlpm.key,$B21&amp;"|"&amp;$C21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15000</v>
      </c>
      <c r="I21" s="17">
        <f t="array" ref="I21">_xlfn.LET(_xlpm.key,$B21&amp;"|"&amp;$C21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7</v>
      </c>
      <c r="J21" s="16" t="str">
        <f t="shared" si="10"/>
        <v/>
      </c>
      <c r="K21" s="18">
        <f t="shared" si="11"/>
        <v>0.466666666666667</v>
      </c>
      <c r="L21" s="18">
        <f t="shared" si="12"/>
        <v>-0.285714285714286</v>
      </c>
      <c r="M21" s="19">
        <f t="shared" si="13"/>
        <v>-0.612244897959184</v>
      </c>
      <c r="N21" s="19" t="str">
        <f t="shared" si="14"/>
        <v>交易区</v>
      </c>
      <c r="O21" s="20">
        <f t="shared" si="15"/>
        <v>0.466666666666667</v>
      </c>
      <c r="P21" s="20">
        <f t="shared" si="16"/>
        <v>-0.285714285714286</v>
      </c>
      <c r="Q21" s="21">
        <f t="shared" si="17"/>
        <v>-0.612244897959184</v>
      </c>
      <c r="R21" s="22" t="str">
        <f t="shared" si="18"/>
        <v>交易区</v>
      </c>
      <c r="S21" s="22" t="str">
        <f t="shared" si="19"/>
        <v>双绿</v>
      </c>
      <c r="T21" s="17">
        <f t="array" ref="T21">_xlfn.LET(_xlpm.key,$B21&amp;"|"&amp;$C21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22000</v>
      </c>
      <c r="U21" s="45">
        <f t="array" ref="U21">_xlfn.LET(_xlpm.key,$B21&amp;"|"&amp;$C21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5</v>
      </c>
    </row>
    <row r="22" spans="2:21">
      <c r="B22" s="14" t="s">
        <v>54</v>
      </c>
      <c r="C22" s="15" t="s">
        <v>38</v>
      </c>
      <c r="D22" s="16">
        <f t="array" ref="D22">_xlfn.LET(_xlpm.key,$B22&amp;"|"&amp;$C22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24000</v>
      </c>
      <c r="E22" s="16">
        <f t="array" ref="E22">_xlfn.LET(_xlpm.key,$B22&amp;"|"&amp;$C22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2</v>
      </c>
      <c r="F22" s="16">
        <f t="array" ref="F22">_xlfn.LET(_xlpm.key,$B22&amp;"|"&amp;$C22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17000</v>
      </c>
      <c r="G22" s="16">
        <f t="array" ref="G22">_xlfn.LET(_xlpm.key,$B22&amp;"|"&amp;$C22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</v>
      </c>
      <c r="H22" s="17">
        <f t="array" ref="H22">_xlfn.LET(_xlpm.key,$B22&amp;"|"&amp;$C22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17000</v>
      </c>
      <c r="I22" s="17">
        <f t="array" ref="I22">_xlfn.LET(_xlpm.key,$B22&amp;"|"&amp;$C22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</v>
      </c>
      <c r="J22" s="16" t="str">
        <f t="shared" si="10"/>
        <v/>
      </c>
      <c r="K22" s="18">
        <f t="shared" si="11"/>
        <v>0.411764705882353</v>
      </c>
      <c r="L22" s="18">
        <f t="shared" si="12"/>
        <v>-0.333333333333333</v>
      </c>
      <c r="M22" s="19">
        <f t="shared" si="13"/>
        <v>-0.80952380952381</v>
      </c>
      <c r="N22" s="19" t="str">
        <f t="shared" si="14"/>
        <v>交易区</v>
      </c>
      <c r="O22" s="20">
        <f t="shared" si="15"/>
        <v>0.411764705882353</v>
      </c>
      <c r="P22" s="20">
        <f t="shared" si="16"/>
        <v>-0.333333333333333</v>
      </c>
      <c r="Q22" s="21">
        <f t="shared" si="17"/>
        <v>-0.80952380952381</v>
      </c>
      <c r="R22" s="22" t="str">
        <f t="shared" si="18"/>
        <v>交易区</v>
      </c>
      <c r="S22" s="22" t="str">
        <f t="shared" si="19"/>
        <v>双绿</v>
      </c>
      <c r="T22" s="17">
        <f t="array" ref="T22">_xlfn.LET(_xlpm.key,$B22&amp;"|"&amp;$C22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24000</v>
      </c>
      <c r="U22" s="45">
        <f t="array" ref="U22">_xlfn.LET(_xlpm.key,$B22&amp;"|"&amp;$C22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2</v>
      </c>
    </row>
    <row r="23" spans="2:21">
      <c r="B23" s="14" t="s">
        <v>55</v>
      </c>
      <c r="C23" s="15" t="s">
        <v>35</v>
      </c>
      <c r="D23" s="16">
        <f t="array" ref="D23">_xlfn.LET(_xlpm.key,$B23&amp;"|"&amp;$C23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23500</v>
      </c>
      <c r="E23" s="16">
        <f t="array" ref="E23">_xlfn.LET(_xlpm.key,$B23&amp;"|"&amp;$C23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7</v>
      </c>
      <c r="F23" s="16">
        <f t="array" ref="F23">_xlfn.LET(_xlpm.key,$B23&amp;"|"&amp;$C23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18000</v>
      </c>
      <c r="G23" s="16">
        <f t="array" ref="G23">_xlfn.LET(_xlpm.key,$B23&amp;"|"&amp;$C23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7</v>
      </c>
      <c r="H23" s="17">
        <f t="array" ref="H23">_xlfn.LET(_xlpm.key,$B23&amp;"|"&amp;$C23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17388</v>
      </c>
      <c r="I23" s="17">
        <f t="array" ref="I23">_xlfn.LET(_xlpm.key,$B23&amp;"|"&amp;$C23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6</v>
      </c>
      <c r="J23" s="16" t="str">
        <f t="shared" si="10"/>
        <v/>
      </c>
      <c r="K23" s="18">
        <f t="shared" si="11"/>
        <v>0.351506786289395</v>
      </c>
      <c r="L23" s="18">
        <f t="shared" si="12"/>
        <v>0.166666666666667</v>
      </c>
      <c r="M23" s="19">
        <f t="shared" si="13"/>
        <v>0.474149214659686</v>
      </c>
      <c r="N23" s="19" t="str">
        <f t="shared" si="14"/>
        <v>只卖不买</v>
      </c>
      <c r="O23" s="20">
        <f t="shared" si="15"/>
        <v>0.305555555555556</v>
      </c>
      <c r="P23" s="20">
        <f t="shared" si="16"/>
        <v>0</v>
      </c>
      <c r="Q23" s="21">
        <f t="shared" si="17"/>
        <v>0</v>
      </c>
      <c r="R23" s="22" t="str">
        <f t="shared" si="18"/>
        <v>只卖不买</v>
      </c>
      <c r="S23" s="22" t="str">
        <f t="shared" si="19"/>
        <v/>
      </c>
      <c r="T23" s="17">
        <f t="array" ref="T23">_xlfn.LET(_xlpm.key,$B23&amp;"|"&amp;$C23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23500</v>
      </c>
      <c r="U23" s="45">
        <f t="array" ref="U23">_xlfn.LET(_xlpm.key,$B23&amp;"|"&amp;$C23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7</v>
      </c>
    </row>
    <row r="24" spans="2:21">
      <c r="B24" s="14" t="s">
        <v>10</v>
      </c>
      <c r="C24" s="15" t="s">
        <v>42</v>
      </c>
      <c r="D24" s="16">
        <f t="array" ref="D24">_xlfn.LET(_xlpm.key,$B24&amp;"|"&amp;$C24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13888</v>
      </c>
      <c r="E24" s="16">
        <f t="array" ref="E24">_xlfn.LET(_xlpm.key,$B24&amp;"|"&amp;$C24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7</v>
      </c>
      <c r="F24" s="16">
        <f t="array" ref="F24">_xlfn.LET(_xlpm.key,$B24&amp;"|"&amp;$C24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13888</v>
      </c>
      <c r="G24" s="16">
        <f t="array" ref="G24">_xlfn.LET(_xlpm.key,$B24&amp;"|"&amp;$C24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7</v>
      </c>
      <c r="H24" s="17">
        <f t="array" ref="H24">_xlfn.LET(_xlpm.key,$B24&amp;"|"&amp;$C24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10400</v>
      </c>
      <c r="I24" s="17">
        <f t="array" ref="I24">_xlfn.LET(_xlpm.key,$B24&amp;"|"&amp;$C24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6</v>
      </c>
      <c r="J24" s="16" t="str">
        <f t="shared" si="10"/>
        <v/>
      </c>
      <c r="K24" s="18">
        <f t="shared" si="11"/>
        <v>0.335384615384615</v>
      </c>
      <c r="L24" s="18">
        <f t="shared" si="12"/>
        <v>0.166666666666667</v>
      </c>
      <c r="M24" s="19">
        <f t="shared" si="13"/>
        <v>0.496941896024465</v>
      </c>
      <c r="N24" s="19" t="str">
        <f t="shared" si="14"/>
        <v>只卖不买</v>
      </c>
      <c r="O24" s="20">
        <f t="shared" si="15"/>
        <v>0</v>
      </c>
      <c r="P24" s="20">
        <f t="shared" si="16"/>
        <v>0</v>
      </c>
      <c r="Q24" s="21" t="str">
        <f t="shared" si="17"/>
        <v/>
      </c>
      <c r="R24" s="22" t="str">
        <f t="shared" si="18"/>
        <v/>
      </c>
      <c r="S24" s="22" t="str">
        <f t="shared" si="19"/>
        <v/>
      </c>
      <c r="T24" s="17">
        <f t="array" ref="T24">_xlfn.LET(_xlpm.key,$B24&amp;"|"&amp;$C24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14000</v>
      </c>
      <c r="U24" s="45">
        <f t="array" ref="U24">_xlfn.LET(_xlpm.key,$B24&amp;"|"&amp;$C24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7</v>
      </c>
    </row>
    <row r="25" spans="2:21">
      <c r="B25" s="14" t="s">
        <v>56</v>
      </c>
      <c r="C25" s="15" t="s">
        <v>42</v>
      </c>
      <c r="D25" s="16">
        <f t="array" ref="D25">_xlfn.LET(_xlpm.key,$B25&amp;"|"&amp;$C25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23000</v>
      </c>
      <c r="E25" s="16">
        <f t="array" ref="E25">_xlfn.LET(_xlpm.key,$B25&amp;"|"&amp;$C25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2</v>
      </c>
      <c r="F25" s="16">
        <f t="array" ref="F25">_xlfn.LET(_xlpm.key,$B25&amp;"|"&amp;$C25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25000</v>
      </c>
      <c r="G25" s="16">
        <f t="array" ref="G25">_xlfn.LET(_xlpm.key,$B25&amp;"|"&amp;$C25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2</v>
      </c>
      <c r="H25" s="17">
        <f t="array" ref="H25">_xlfn.LET(_xlpm.key,$B25&amp;"|"&amp;$C25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18888</v>
      </c>
      <c r="I25" s="17">
        <f t="array" ref="I25">_xlfn.LET(_xlpm.key,$B25&amp;"|"&amp;$C25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</v>
      </c>
      <c r="J25" s="16" t="str">
        <f t="shared" si="10"/>
        <v/>
      </c>
      <c r="K25" s="18">
        <f t="shared" si="11"/>
        <v>0.217704362558238</v>
      </c>
      <c r="L25" s="18">
        <f t="shared" si="12"/>
        <v>-0.333333333333333</v>
      </c>
      <c r="M25" s="19">
        <f t="shared" si="13"/>
        <v>-1.53112840466926</v>
      </c>
      <c r="N25" s="19" t="str">
        <f t="shared" si="14"/>
        <v>谨慎</v>
      </c>
      <c r="O25" s="20">
        <f t="shared" si="15"/>
        <v>-0.08</v>
      </c>
      <c r="P25" s="20">
        <f t="shared" si="16"/>
        <v>0</v>
      </c>
      <c r="Q25" s="21">
        <f t="shared" si="17"/>
        <v>0</v>
      </c>
      <c r="R25" s="22" t="str">
        <f t="shared" si="18"/>
        <v>只卖不买</v>
      </c>
      <c r="S25" s="22" t="str">
        <f t="shared" si="19"/>
        <v/>
      </c>
      <c r="T25" s="17">
        <f t="array" ref="T25">_xlfn.LET(_xlpm.key,$B25&amp;"|"&amp;$C25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25000</v>
      </c>
      <c r="U25" s="45">
        <f t="array" ref="U25">_xlfn.LET(_xlpm.key,$B25&amp;"|"&amp;$C25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2</v>
      </c>
    </row>
    <row r="26" spans="2:21">
      <c r="B26" s="14" t="s">
        <v>57</v>
      </c>
      <c r="C26" s="15" t="s">
        <v>35</v>
      </c>
      <c r="D26" s="16">
        <f t="array" ref="D26">_xlfn.LET(_xlpm.key,$B26&amp;"|"&amp;$C26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35000</v>
      </c>
      <c r="E26" s="16">
        <f t="array" ref="E26">_xlfn.LET(_xlpm.key,$B26&amp;"|"&amp;$C26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2</v>
      </c>
      <c r="F26" s="16">
        <f t="array" ref="F26">_xlfn.LET(_xlpm.key,$B26&amp;"|"&amp;$C26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35000</v>
      </c>
      <c r="G26" s="16">
        <f t="array" ref="G26">_xlfn.LET(_xlpm.key,$B26&amp;"|"&amp;$C26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2</v>
      </c>
      <c r="H26" s="17">
        <f t="array" ref="H26">_xlfn.LET(_xlpm.key,$B26&amp;"|"&amp;$C26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29000</v>
      </c>
      <c r="I26" s="17">
        <f t="array" ref="I26">_xlfn.LET(_xlpm.key,$B26&amp;"|"&amp;$C26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2</v>
      </c>
      <c r="J26" s="16" t="str">
        <f t="shared" si="10"/>
        <v/>
      </c>
      <c r="K26" s="18">
        <f t="shared" si="11"/>
        <v>0.206896551724138</v>
      </c>
      <c r="L26" s="18">
        <f t="shared" si="12"/>
        <v>0</v>
      </c>
      <c r="M26" s="19">
        <f t="shared" si="13"/>
        <v>0</v>
      </c>
      <c r="N26" s="19" t="str">
        <f t="shared" si="14"/>
        <v>只卖不买</v>
      </c>
      <c r="O26" s="20">
        <f t="shared" si="15"/>
        <v>0</v>
      </c>
      <c r="P26" s="20">
        <f t="shared" si="16"/>
        <v>0</v>
      </c>
      <c r="Q26" s="21" t="str">
        <f t="shared" si="17"/>
        <v/>
      </c>
      <c r="R26" s="22" t="str">
        <f t="shared" si="18"/>
        <v/>
      </c>
      <c r="S26" s="22" t="str">
        <f t="shared" si="19"/>
        <v/>
      </c>
      <c r="T26" s="17">
        <f t="array" ref="T26">_xlfn.LET(_xlpm.key,$B26&amp;"|"&amp;$C26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35000</v>
      </c>
      <c r="U26" s="45">
        <f t="array" ref="U26">_xlfn.LET(_xlpm.key,$B26&amp;"|"&amp;$C26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2</v>
      </c>
    </row>
    <row r="27" spans="2:21">
      <c r="B27" s="14" t="s">
        <v>58</v>
      </c>
      <c r="C27" s="15" t="s">
        <v>38</v>
      </c>
      <c r="D27" s="16">
        <f t="array" ref="D27">_xlfn.LET(_xlpm.key,$B27&amp;"|"&amp;$C27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17500</v>
      </c>
      <c r="E27" s="16">
        <f t="array" ref="E27">_xlfn.LET(_xlpm.key,$B27&amp;"|"&amp;$C27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6</v>
      </c>
      <c r="F27" s="16">
        <f t="array" ref="F27">_xlfn.LET(_xlpm.key,$B27&amp;"|"&amp;$C27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16666</v>
      </c>
      <c r="G27" s="16">
        <f t="array" ref="G27">_xlfn.LET(_xlpm.key,$B27&amp;"|"&amp;$C27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7</v>
      </c>
      <c r="H27" s="17">
        <f t="array" ref="H27">_xlfn.LET(_xlpm.key,$B27&amp;"|"&amp;$C27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15000</v>
      </c>
      <c r="I27" s="17">
        <f t="array" ref="I27">_xlfn.LET(_xlpm.key,$B27&amp;"|"&amp;$C27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7</v>
      </c>
      <c r="J27" s="16" t="str">
        <f t="shared" si="10"/>
        <v/>
      </c>
      <c r="K27" s="18">
        <f t="shared" si="11"/>
        <v>0.166666666666667</v>
      </c>
      <c r="L27" s="18">
        <f t="shared" si="12"/>
        <v>-0.142857142857143</v>
      </c>
      <c r="M27" s="19">
        <f t="shared" si="13"/>
        <v>-0.857142857142857</v>
      </c>
      <c r="N27" s="19" t="str">
        <f t="shared" si="14"/>
        <v>交易区</v>
      </c>
      <c r="O27" s="20">
        <f t="shared" si="15"/>
        <v>0.0500420016800672</v>
      </c>
      <c r="P27" s="20">
        <f t="shared" si="16"/>
        <v>-0.142857142857143</v>
      </c>
      <c r="Q27" s="21">
        <f t="shared" si="17"/>
        <v>-2.85474477560808</v>
      </c>
      <c r="R27" s="22" t="str">
        <f t="shared" si="18"/>
        <v>危险盘</v>
      </c>
      <c r="S27" s="22" t="str">
        <f t="shared" si="19"/>
        <v/>
      </c>
      <c r="T27" s="17">
        <f t="array" ref="T27">_xlfn.LET(_xlpm.key,$B27&amp;"|"&amp;$C27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17888</v>
      </c>
      <c r="U27" s="45">
        <f t="array" ref="U27">_xlfn.LET(_xlpm.key,$B27&amp;"|"&amp;$C27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6</v>
      </c>
    </row>
    <row r="28" spans="2:21">
      <c r="B28" s="14" t="s">
        <v>50</v>
      </c>
      <c r="C28" s="15" t="s">
        <v>59</v>
      </c>
      <c r="D28" s="16">
        <f t="array" ref="D28">_xlfn.LET(_xlpm.key,$B28&amp;"|"&amp;$C28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20600</v>
      </c>
      <c r="E28" s="16">
        <f t="array" ref="E28">_xlfn.LET(_xlpm.key,$B28&amp;"|"&amp;$C28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5</v>
      </c>
      <c r="F28" s="16">
        <f t="array" ref="F28">_xlfn.LET(_xlpm.key,$B28&amp;"|"&amp;$C28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18500</v>
      </c>
      <c r="G28" s="16">
        <f t="array" ref="G28">_xlfn.LET(_xlpm.key,$B28&amp;"|"&amp;$C28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4</v>
      </c>
      <c r="H28" s="17">
        <f t="array" ref="H28">_xlfn.LET(_xlpm.key,$B28&amp;"|"&amp;$C28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17888</v>
      </c>
      <c r="I28" s="17">
        <f t="array" ref="I28">_xlfn.LET(_xlpm.key,$B28&amp;"|"&amp;$C28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6</v>
      </c>
      <c r="J28" s="16" t="str">
        <f t="shared" si="10"/>
        <v/>
      </c>
      <c r="K28" s="18">
        <f t="shared" si="11"/>
        <v>0.151610017889088</v>
      </c>
      <c r="L28" s="18">
        <f t="shared" si="12"/>
        <v>-0.166666666666667</v>
      </c>
      <c r="M28" s="19">
        <f t="shared" si="13"/>
        <v>-1.09931170108161</v>
      </c>
      <c r="N28" s="19" t="str">
        <f t="shared" si="14"/>
        <v>交易区</v>
      </c>
      <c r="O28" s="20">
        <f t="shared" si="15"/>
        <v>0.113513513513514</v>
      </c>
      <c r="P28" s="20">
        <f t="shared" si="16"/>
        <v>0.25</v>
      </c>
      <c r="Q28" s="21">
        <f t="shared" si="17"/>
        <v>2.20238095238095</v>
      </c>
      <c r="R28" s="22" t="str">
        <f t="shared" si="18"/>
        <v>只卖不买</v>
      </c>
      <c r="S28" s="22" t="str">
        <f t="shared" si="19"/>
        <v/>
      </c>
      <c r="T28" s="17">
        <f t="array" ref="T28">_xlfn.LET(_xlpm.key,$B28&amp;"|"&amp;$C28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20999</v>
      </c>
      <c r="U28" s="45">
        <f t="array" ref="U28">_xlfn.LET(_xlpm.key,$B28&amp;"|"&amp;$C28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3</v>
      </c>
    </row>
    <row r="29" spans="2:21">
      <c r="B29" s="14" t="s">
        <v>51</v>
      </c>
      <c r="C29" s="15" t="s">
        <v>60</v>
      </c>
      <c r="D29" s="16">
        <f t="array" ref="D29">_xlfn.LET(_xlpm.key,$B29&amp;"|"&amp;$C29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17399</v>
      </c>
      <c r="E29" s="16">
        <f t="array" ref="E29">_xlfn.LET(_xlpm.key,$B29&amp;"|"&amp;$C29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6</v>
      </c>
      <c r="F29" s="16">
        <f t="array" ref="F29">_xlfn.LET(_xlpm.key,$B29&amp;"|"&amp;$C29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16500</v>
      </c>
      <c r="G29" s="16">
        <f t="array" ref="G29">_xlfn.LET(_xlpm.key,$B29&amp;"|"&amp;$C29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7</v>
      </c>
      <c r="H29" s="17">
        <f t="array" ref="H29">_xlfn.LET(_xlpm.key,$B29&amp;"|"&amp;$C29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15200</v>
      </c>
      <c r="I29" s="17">
        <f t="array" ref="I29">_xlfn.LET(_xlpm.key,$B29&amp;"|"&amp;$C29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8</v>
      </c>
      <c r="J29" s="16" t="str">
        <f t="shared" si="10"/>
        <v/>
      </c>
      <c r="K29" s="18">
        <f t="shared" si="11"/>
        <v>0.144671052631579</v>
      </c>
      <c r="L29" s="18">
        <f t="shared" si="12"/>
        <v>-0.25</v>
      </c>
      <c r="M29" s="19">
        <f t="shared" si="13"/>
        <v>-1.72805820827649</v>
      </c>
      <c r="N29" s="19" t="str">
        <f t="shared" si="14"/>
        <v>谨慎</v>
      </c>
      <c r="O29" s="20">
        <f t="shared" si="15"/>
        <v>0.0544848484848485</v>
      </c>
      <c r="P29" s="20">
        <f t="shared" si="16"/>
        <v>-0.142857142857143</v>
      </c>
      <c r="Q29" s="21">
        <f t="shared" si="17"/>
        <v>-2.62196090894645</v>
      </c>
      <c r="R29" s="22" t="str">
        <f t="shared" si="18"/>
        <v>危险盘</v>
      </c>
      <c r="S29" s="22" t="str">
        <f t="shared" si="19"/>
        <v/>
      </c>
      <c r="T29" s="17">
        <f t="array" ref="T29">_xlfn.LET(_xlpm.key,$B29&amp;"|"&amp;$C29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19994</v>
      </c>
      <c r="U29" s="45">
        <f t="array" ref="U29">_xlfn.LET(_xlpm.key,$B29&amp;"|"&amp;$C29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7</v>
      </c>
    </row>
    <row r="30" spans="2:21">
      <c r="B30" s="14" t="s">
        <v>61</v>
      </c>
      <c r="C30" s="15" t="s">
        <v>38</v>
      </c>
      <c r="D30" s="16">
        <f t="array" ref="D30">_xlfn.LET(_xlpm.key,$B30&amp;"|"&amp;$C30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26000</v>
      </c>
      <c r="E30" s="16">
        <f t="array" ref="E30">_xlfn.LET(_xlpm.key,$B30&amp;"|"&amp;$C30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3</v>
      </c>
      <c r="F30" s="16">
        <f t="array" ref="F30">_xlfn.LET(_xlpm.key,$B30&amp;"|"&amp;$C30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26000</v>
      </c>
      <c r="G30" s="16">
        <f t="array" ref="G30">_xlfn.LET(_xlpm.key,$B30&amp;"|"&amp;$C30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3</v>
      </c>
      <c r="H30" s="17">
        <f t="array" ref="H30">_xlfn.LET(_xlpm.key,$B30&amp;"|"&amp;$C30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24000</v>
      </c>
      <c r="I30" s="17">
        <f t="array" ref="I30">_xlfn.LET(_xlpm.key,$B30&amp;"|"&amp;$C30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</v>
      </c>
      <c r="J30" s="16" t="str">
        <f t="shared" si="10"/>
        <v/>
      </c>
      <c r="K30" s="18">
        <f t="shared" si="11"/>
        <v>0.0833333333333333</v>
      </c>
      <c r="L30" s="18">
        <f t="shared" si="12"/>
        <v>0</v>
      </c>
      <c r="M30" s="19">
        <f t="shared" si="13"/>
        <v>0</v>
      </c>
      <c r="N30" s="19" t="str">
        <f t="shared" si="14"/>
        <v>只卖不买</v>
      </c>
      <c r="O30" s="20">
        <f t="shared" si="15"/>
        <v>0</v>
      </c>
      <c r="P30" s="20">
        <f t="shared" si="16"/>
        <v>0</v>
      </c>
      <c r="Q30" s="21" t="str">
        <f t="shared" si="17"/>
        <v/>
      </c>
      <c r="R30" s="22" t="str">
        <f t="shared" si="18"/>
        <v/>
      </c>
      <c r="S30" s="22" t="str">
        <f t="shared" si="19"/>
        <v/>
      </c>
      <c r="T30" s="17">
        <f t="array" ref="T30">_xlfn.LET(_xlpm.key,$B30&amp;"|"&amp;$C30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26000</v>
      </c>
      <c r="U30" s="45">
        <f t="array" ref="U30">_xlfn.LET(_xlpm.key,$B30&amp;"|"&amp;$C30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3</v>
      </c>
    </row>
    <row r="31" spans="2:21">
      <c r="B31" s="14" t="s">
        <v>55</v>
      </c>
      <c r="C31" s="15" t="s">
        <v>59</v>
      </c>
      <c r="D31" s="16">
        <f t="array" ref="D31">_xlfn.LET(_xlpm.key,$B31&amp;"|"&amp;$C31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17999</v>
      </c>
      <c r="E31" s="16">
        <f t="array" ref="E31">_xlfn.LET(_xlpm.key,$B31&amp;"|"&amp;$C31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5</v>
      </c>
      <c r="F31" s="16">
        <f t="array" ref="F31">_xlfn.LET(_xlpm.key,$B31&amp;"|"&amp;$C31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17999</v>
      </c>
      <c r="G31" s="16">
        <f t="array" ref="G31">_xlfn.LET(_xlpm.key,$B31&amp;"|"&amp;$C31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5</v>
      </c>
      <c r="H31" s="17">
        <f t="array" ref="H31">_xlfn.LET(_xlpm.key,$B31&amp;"|"&amp;$C31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17000</v>
      </c>
      <c r="I31" s="17">
        <f t="array" ref="I31">_xlfn.LET(_xlpm.key,$B31&amp;"|"&amp;$C31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7</v>
      </c>
      <c r="J31" s="16" t="str">
        <f t="shared" si="10"/>
        <v/>
      </c>
      <c r="K31" s="18">
        <f t="shared" si="11"/>
        <v>0.0587647058823529</v>
      </c>
      <c r="L31" s="18">
        <f t="shared" si="12"/>
        <v>-0.285714285714286</v>
      </c>
      <c r="M31" s="19">
        <f t="shared" si="13"/>
        <v>-4.86200486200486</v>
      </c>
      <c r="N31" s="19" t="str">
        <f t="shared" si="14"/>
        <v>危险盘</v>
      </c>
      <c r="O31" s="20">
        <f t="shared" si="15"/>
        <v>0</v>
      </c>
      <c r="P31" s="20">
        <f t="shared" si="16"/>
        <v>0</v>
      </c>
      <c r="Q31" s="21" t="str">
        <f t="shared" si="17"/>
        <v/>
      </c>
      <c r="R31" s="22" t="str">
        <f t="shared" si="18"/>
        <v/>
      </c>
      <c r="S31" s="22" t="str">
        <f t="shared" si="19"/>
        <v/>
      </c>
      <c r="T31" s="17">
        <f t="array" ref="T31">_xlfn.LET(_xlpm.key,$B31&amp;"|"&amp;$C31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21500</v>
      </c>
      <c r="U31" s="45">
        <f t="array" ref="U31">_xlfn.LET(_xlpm.key,$B31&amp;"|"&amp;$C31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7</v>
      </c>
    </row>
    <row r="32" spans="2:21">
      <c r="B32" s="14" t="s">
        <v>62</v>
      </c>
      <c r="C32" s="15" t="s">
        <v>38</v>
      </c>
      <c r="D32" s="16">
        <f t="array" ref="D32">_xlfn.LET(_xlpm.key,$B32&amp;"|"&amp;$C32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20000</v>
      </c>
      <c r="E32" s="16">
        <f t="array" ref="E32">_xlfn.LET(_xlpm.key,$B32&amp;"|"&amp;$C32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2</v>
      </c>
      <c r="F32" s="16">
        <f t="array" ref="F32">_xlfn.LET(_xlpm.key,$B32&amp;"|"&amp;$C32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20000</v>
      </c>
      <c r="G32" s="16">
        <f t="array" ref="G32">_xlfn.LET(_xlpm.key,$B32&amp;"|"&amp;$C32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2</v>
      </c>
      <c r="H32" s="17">
        <f t="array" ref="H32">_xlfn.LET(_xlpm.key,$B32&amp;"|"&amp;$C32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19000</v>
      </c>
      <c r="I32" s="17">
        <f t="array" ref="I32">_xlfn.LET(_xlpm.key,$B32&amp;"|"&amp;$C32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3</v>
      </c>
      <c r="J32" s="16" t="str">
        <f t="shared" si="10"/>
        <v/>
      </c>
      <c r="K32" s="18">
        <f t="shared" si="11"/>
        <v>0.0526315789473684</v>
      </c>
      <c r="L32" s="18">
        <f t="shared" si="12"/>
        <v>-0.333333333333333</v>
      </c>
      <c r="M32" s="19">
        <f t="shared" si="13"/>
        <v>-6.33333333333333</v>
      </c>
      <c r="N32" s="19" t="str">
        <f t="shared" si="14"/>
        <v>危险盘</v>
      </c>
      <c r="O32" s="20">
        <f t="shared" si="15"/>
        <v>0</v>
      </c>
      <c r="P32" s="20">
        <f t="shared" si="16"/>
        <v>0</v>
      </c>
      <c r="Q32" s="21" t="str">
        <f t="shared" si="17"/>
        <v/>
      </c>
      <c r="R32" s="22" t="str">
        <f t="shared" si="18"/>
        <v/>
      </c>
      <c r="S32" s="22" t="str">
        <f t="shared" si="19"/>
        <v/>
      </c>
      <c r="T32" s="17">
        <f t="array" ref="T32">_xlfn.LET(_xlpm.key,$B32&amp;"|"&amp;$C32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22222</v>
      </c>
      <c r="U32" s="45">
        <f t="array" ref="U32">_xlfn.LET(_xlpm.key,$B32&amp;"|"&amp;$C32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1</v>
      </c>
    </row>
    <row r="33" spans="2:21">
      <c r="B33" s="14" t="s">
        <v>63</v>
      </c>
      <c r="C33" s="15" t="s">
        <v>42</v>
      </c>
      <c r="D33" s="16">
        <f t="array" ref="D33">_xlfn.LET(_xlpm.key,$B33&amp;"|"&amp;$C33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10500</v>
      </c>
      <c r="E33" s="16">
        <f t="array" ref="E33">_xlfn.LET(_xlpm.key,$B33&amp;"|"&amp;$C33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4</v>
      </c>
      <c r="F33" s="16">
        <f t="array" ref="F33">_xlfn.LET(_xlpm.key,$B33&amp;"|"&amp;$C33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9999</v>
      </c>
      <c r="G33" s="16">
        <f t="array" ref="G33">_xlfn.LET(_xlpm.key,$B33&amp;"|"&amp;$C33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6</v>
      </c>
      <c r="H33" s="17">
        <f t="array" ref="H33">_xlfn.LET(_xlpm.key,$B33&amp;"|"&amp;$C33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9999</v>
      </c>
      <c r="I33" s="17">
        <f t="array" ref="I33">_xlfn.LET(_xlpm.key,$B33&amp;"|"&amp;$C33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6</v>
      </c>
      <c r="J33" s="16" t="str">
        <f t="shared" si="10"/>
        <v/>
      </c>
      <c r="K33" s="18">
        <f t="shared" si="11"/>
        <v>0.0501050105010501</v>
      </c>
      <c r="L33" s="18">
        <f t="shared" si="12"/>
        <v>-0.333333333333333</v>
      </c>
      <c r="M33" s="19">
        <f t="shared" si="13"/>
        <v>-6.65269461077844</v>
      </c>
      <c r="N33" s="19" t="str">
        <f t="shared" si="14"/>
        <v>危险盘</v>
      </c>
      <c r="O33" s="20">
        <f t="shared" si="15"/>
        <v>0.0501050105010501</v>
      </c>
      <c r="P33" s="20">
        <f t="shared" si="16"/>
        <v>-0.333333333333333</v>
      </c>
      <c r="Q33" s="21">
        <f t="shared" si="17"/>
        <v>-6.65269461077844</v>
      </c>
      <c r="R33" s="22" t="str">
        <f t="shared" si="18"/>
        <v>危险盘</v>
      </c>
      <c r="S33" s="22" t="str">
        <f t="shared" si="19"/>
        <v/>
      </c>
      <c r="T33" s="17">
        <f t="array" ref="T33">_xlfn.LET(_xlpm.key,$B33&amp;"|"&amp;$C33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12500</v>
      </c>
      <c r="U33" s="45">
        <f t="array" ref="U33">_xlfn.LET(_xlpm.key,$B33&amp;"|"&amp;$C33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4</v>
      </c>
    </row>
    <row r="34" spans="2:21">
      <c r="B34" s="14" t="s">
        <v>64</v>
      </c>
      <c r="C34" s="15" t="s">
        <v>65</v>
      </c>
      <c r="D34" s="16">
        <f t="array" ref="D34">_xlfn.LET(_xlpm.key,$B34&amp;"|"&amp;$C34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20555</v>
      </c>
      <c r="E34" s="16">
        <f t="array" ref="E34">_xlfn.LET(_xlpm.key,$B34&amp;"|"&amp;$C34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8</v>
      </c>
      <c r="F34" s="16">
        <f t="array" ref="F34">_xlfn.LET(_xlpm.key,$B34&amp;"|"&amp;$C34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19996</v>
      </c>
      <c r="G34" s="16">
        <f t="array" ref="G34">_xlfn.LET(_xlpm.key,$B34&amp;"|"&amp;$C34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8</v>
      </c>
      <c r="H34" s="17">
        <f t="array" ref="H34">_xlfn.LET(_xlpm.key,$B34&amp;"|"&amp;$C34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19996</v>
      </c>
      <c r="I34" s="17">
        <f t="array" ref="I34">_xlfn.LET(_xlpm.key,$B34&amp;"|"&amp;$C34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8</v>
      </c>
      <c r="J34" s="16" t="str">
        <f t="shared" si="10"/>
        <v/>
      </c>
      <c r="K34" s="18">
        <f t="shared" si="11"/>
        <v>0.0279555911182236</v>
      </c>
      <c r="L34" s="18">
        <f t="shared" si="12"/>
        <v>0</v>
      </c>
      <c r="M34" s="19">
        <f t="shared" si="13"/>
        <v>0</v>
      </c>
      <c r="N34" s="19" t="str">
        <f t="shared" si="14"/>
        <v>只卖不买</v>
      </c>
      <c r="O34" s="20">
        <f t="shared" si="15"/>
        <v>0.0279555911182236</v>
      </c>
      <c r="P34" s="20">
        <f t="shared" si="16"/>
        <v>0</v>
      </c>
      <c r="Q34" s="21">
        <f t="shared" si="17"/>
        <v>0</v>
      </c>
      <c r="R34" s="22" t="str">
        <f t="shared" si="18"/>
        <v>只卖不买</v>
      </c>
      <c r="S34" s="22" t="str">
        <f t="shared" si="19"/>
        <v/>
      </c>
      <c r="T34" s="17">
        <f t="array" ref="T34">_xlfn.LET(_xlpm.key,$B34&amp;"|"&amp;$C34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23888</v>
      </c>
      <c r="U34" s="45">
        <f t="array" ref="U34">_xlfn.LET(_xlpm.key,$B34&amp;"|"&amp;$C34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7</v>
      </c>
    </row>
    <row r="35" spans="2:21">
      <c r="B35" s="14" t="s">
        <v>66</v>
      </c>
      <c r="C35" s="15" t="s">
        <v>67</v>
      </c>
      <c r="D35" s="16">
        <f t="array" ref="D35">_xlfn.LET(_xlpm.key,$B35&amp;"|"&amp;$C35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18888</v>
      </c>
      <c r="E35" s="16">
        <f t="array" ref="E35">_xlfn.LET(_xlpm.key,$B35&amp;"|"&amp;$C35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1</v>
      </c>
      <c r="F35" s="16">
        <f t="array" ref="F35">_xlfn.LET(_xlpm.key,$B35&amp;"|"&amp;$C35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18888</v>
      </c>
      <c r="G35" s="16">
        <f t="array" ref="G35">_xlfn.LET(_xlpm.key,$B35&amp;"|"&amp;$C35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1</v>
      </c>
      <c r="H35" s="17">
        <f t="array" ref="H35">_xlfn.LET(_xlpm.key,$B35&amp;"|"&amp;$C35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18888</v>
      </c>
      <c r="I35" s="17">
        <f t="array" ref="I35">_xlfn.LET(_xlpm.key,$B35&amp;"|"&amp;$C35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1</v>
      </c>
      <c r="J35" s="16" t="str">
        <f t="shared" si="10"/>
        <v>历史最低</v>
      </c>
      <c r="K35" s="18">
        <f t="shared" si="11"/>
        <v>0</v>
      </c>
      <c r="L35" s="18">
        <f t="shared" si="12"/>
        <v>0</v>
      </c>
      <c r="M35" s="19" t="str">
        <f t="shared" si="13"/>
        <v/>
      </c>
      <c r="N35" s="19" t="str">
        <f t="shared" si="14"/>
        <v/>
      </c>
      <c r="O35" s="20">
        <f t="shared" si="15"/>
        <v>0</v>
      </c>
      <c r="P35" s="20">
        <f t="shared" si="16"/>
        <v>0</v>
      </c>
      <c r="Q35" s="21" t="str">
        <f t="shared" si="17"/>
        <v/>
      </c>
      <c r="R35" s="22" t="str">
        <f t="shared" si="18"/>
        <v/>
      </c>
      <c r="S35" s="22" t="str">
        <f t="shared" si="19"/>
        <v/>
      </c>
      <c r="T35" s="17">
        <f t="array" ref="T35">_xlfn.LET(_xlpm.key,$B35&amp;"|"&amp;$C35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18888</v>
      </c>
      <c r="U35" s="45">
        <f t="array" ref="U35">_xlfn.LET(_xlpm.key,$B35&amp;"|"&amp;$C35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1</v>
      </c>
    </row>
    <row r="36" spans="2:21">
      <c r="B36" s="14" t="s">
        <v>68</v>
      </c>
      <c r="C36" s="15" t="s">
        <v>38</v>
      </c>
      <c r="D36" s="16">
        <f t="array" ref="D36">_xlfn.LET(_xlpm.key,$B36&amp;"|"&amp;$C36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48888</v>
      </c>
      <c r="E36" s="16">
        <f t="array" ref="E36">_xlfn.LET(_xlpm.key,$B36&amp;"|"&amp;$C36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1</v>
      </c>
      <c r="F36" s="16">
        <f t="array" ref="F36">_xlfn.LET(_xlpm.key,$B36&amp;"|"&amp;$C36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50000</v>
      </c>
      <c r="G36" s="16">
        <f t="array" ref="G36">_xlfn.LET(_xlpm.key,$B36&amp;"|"&amp;$C36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1</v>
      </c>
      <c r="H36" s="17">
        <f t="array" ref="H36">_xlfn.LET(_xlpm.key,$B36&amp;"|"&amp;$C36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48888</v>
      </c>
      <c r="I36" s="17">
        <f t="array" ref="I36">_xlfn.LET(_xlpm.key,$B36&amp;"|"&amp;$C36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1</v>
      </c>
      <c r="J36" s="16" t="str">
        <f t="shared" si="10"/>
        <v>历史最低</v>
      </c>
      <c r="K36" s="18">
        <f t="shared" si="11"/>
        <v>0</v>
      </c>
      <c r="L36" s="18">
        <f t="shared" si="12"/>
        <v>0</v>
      </c>
      <c r="M36" s="19" t="str">
        <f t="shared" si="13"/>
        <v/>
      </c>
      <c r="N36" s="19" t="str">
        <f t="shared" si="14"/>
        <v/>
      </c>
      <c r="O36" s="20">
        <f t="shared" si="15"/>
        <v>-0.02224</v>
      </c>
      <c r="P36" s="20">
        <f t="shared" si="16"/>
        <v>0</v>
      </c>
      <c r="Q36" s="21">
        <f t="shared" si="17"/>
        <v>0</v>
      </c>
      <c r="R36" s="22" t="str">
        <f t="shared" si="18"/>
        <v>只卖不买</v>
      </c>
      <c r="S36" s="22" t="str">
        <f t="shared" si="19"/>
        <v/>
      </c>
      <c r="T36" s="17">
        <f t="array" ref="T36">_xlfn.LET(_xlpm.key,$B36&amp;"|"&amp;$C36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50000</v>
      </c>
      <c r="U36" s="45">
        <f t="array" ref="U36">_xlfn.LET(_xlpm.key,$B36&amp;"|"&amp;$C36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1</v>
      </c>
    </row>
    <row r="37" spans="2:21">
      <c r="B37" s="14" t="s">
        <v>69</v>
      </c>
      <c r="C37" s="15" t="s">
        <v>38</v>
      </c>
      <c r="D37" s="16">
        <f t="array" ref="D37">_xlfn.LET(_xlpm.key,$B37&amp;"|"&amp;$C37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42988</v>
      </c>
      <c r="E37" s="16">
        <f t="array" ref="E37">_xlfn.LET(_xlpm.key,$B37&amp;"|"&amp;$C37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5</v>
      </c>
      <c r="F37" s="16">
        <f t="array" ref="F37">_xlfn.LET(_xlpm.key,$B37&amp;"|"&amp;$C37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44000</v>
      </c>
      <c r="G37" s="16">
        <f t="array" ref="G37">_xlfn.LET(_xlpm.key,$B37&amp;"|"&amp;$C37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5</v>
      </c>
      <c r="H37" s="17">
        <f t="array" ref="H37">_xlfn.LET(_xlpm.key,$B37&amp;"|"&amp;$C37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42988</v>
      </c>
      <c r="I37" s="17">
        <f t="array" ref="I37">_xlfn.LET(_xlpm.key,$B37&amp;"|"&amp;$C37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5</v>
      </c>
      <c r="J37" s="16" t="str">
        <f t="shared" si="10"/>
        <v>历史最低</v>
      </c>
      <c r="K37" s="18">
        <f t="shared" si="11"/>
        <v>0</v>
      </c>
      <c r="L37" s="18">
        <f t="shared" si="12"/>
        <v>0</v>
      </c>
      <c r="M37" s="19" t="str">
        <f t="shared" si="13"/>
        <v/>
      </c>
      <c r="N37" s="19" t="str">
        <f t="shared" si="14"/>
        <v/>
      </c>
      <c r="O37" s="20">
        <f t="shared" si="15"/>
        <v>-0.023</v>
      </c>
      <c r="P37" s="20">
        <f t="shared" si="16"/>
        <v>0</v>
      </c>
      <c r="Q37" s="21">
        <f t="shared" si="17"/>
        <v>0</v>
      </c>
      <c r="R37" s="22" t="str">
        <f t="shared" si="18"/>
        <v>只卖不买</v>
      </c>
      <c r="S37" s="22" t="str">
        <f t="shared" si="19"/>
        <v/>
      </c>
      <c r="T37" s="17">
        <f t="array" ref="T37">_xlfn.LET(_xlpm.key,$B37&amp;"|"&amp;$C37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55555</v>
      </c>
      <c r="U37" s="45">
        <f t="array" ref="U37">_xlfn.LET(_xlpm.key,$B37&amp;"|"&amp;$C37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3</v>
      </c>
    </row>
    <row r="38" ht="14.25" spans="2:21">
      <c r="B38" s="24" t="s">
        <v>70</v>
      </c>
      <c r="C38" s="25" t="s">
        <v>38</v>
      </c>
      <c r="D38" s="26">
        <f t="array" ref="D38">_xlfn.LET(_xlpm.key,$B38&amp;"|"&amp;$C38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LOOKUP(2,1/(_xlpm.p&lt;&gt;""),_xlpm.p),""))</f>
        <v>65000</v>
      </c>
      <c r="E38" s="26">
        <f t="array" ref="E38">_xlfn.LET(_xlpm.key,$B38&amp;"|"&amp;$C38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lp,IFERROR(LOOKUP(2,1/(_xlpm.p&lt;&gt;""),_xlpm.p),""),IF(_xlpm.lp="","",INDEX(_xlpm.q,_xlfn.XMATCH(_xlpm.lp,_xlpm.p,0,-1))))</f>
        <v>1</v>
      </c>
      <c r="F38" s="26">
        <f t="array" ref="F38">_xlfn.LET(_xlpm.key,$B38&amp;"|"&amp;$C38,_xlpm.kdb,价格数据库!$A:$A&amp;"|"&amp;价格数据库!$B:$B,_xlpm.r,_xlfn.XMATCH(_xlpm.key,_xlpm.kdb,0),_xlpm.row,INDEX(价格数据库!$C:$ZZ,_xlpm.r,0),_xlpm.n,INT(COLUMNS(_xlpm.row)/2),_xlpm.p,_xlfn.CHOOSECOLS(_xlpm.row,_xlfn.SEQUENCE(,_xlpm.n,1,2)),_xlpm.pos,_xlfn._xlws.FILTER(_xlfn.SEQUENCE(,COLUMNS(_xlpm.p)),_xlpm.p&lt;&gt;""),IFERROR(INDEX(_xlpm.p,1,INDEX(_xlpm.pos,1,COLUMNS(_xlpm.pos)-1)),""))</f>
        <v>65000</v>
      </c>
      <c r="G38" s="26">
        <f t="array" ref="G38">_xlfn.LET(_xlpm.key,$B38&amp;"|"&amp;$C38,_xlpm.kdb,价格数据库!$A:$A&amp;"|"&amp;价格数据库!$B:$B,_xlpm.r,_xlfn.XMATCH(_xlpm.key,_xlpm.kdb,0),_xlpm.row,INDEX(价格数据库!$C:$ZZ,_xlpm.r,0),_xlpm.n,INT(COLUMNS(_xlpm.row)/2),_xlpm.q,_xlfn.CHOOSECOLS(_xlpm.row,_xlfn.SEQUENCE(,_xlpm.n,2,2)),_xlpm.pos,_xlfn._xlws.FILTER(_xlfn.SEQUENCE(,COLUMNS(_xlpm.q)),_xlpm.q&lt;&gt;""),IFERROR(INDEX(_xlpm.q,1,INDEX(_xlpm.pos,1,COLUMNS(_xlpm.pos)-1)),""))</f>
        <v>1</v>
      </c>
      <c r="H38" s="27">
        <f t="array" ref="H38">_xlfn.LET(_xlpm.key,$B38&amp;"|"&amp;$C38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IN(_xlfn._xlws.FILTER(_xlpm.p,_xlpm.p&lt;&gt;"")),""))</f>
        <v>65000</v>
      </c>
      <c r="I38" s="27">
        <f t="array" ref="I38">_xlfn.LET(_xlpm.key,$B38&amp;"|"&amp;$C38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p,IFERROR(MIN(_xlfn._xlws.FILTER(_xlpm.p,_xlpm.p&lt;&gt;"")),""),IF(_xlpm.mp="","",INDEX(_xlpm.q,_xlfn.XMATCH(_xlpm.mp,_xlpm.p,0,-1))))</f>
        <v>1</v>
      </c>
      <c r="J38" s="26" t="str">
        <f t="shared" si="10"/>
        <v>历史最低</v>
      </c>
      <c r="K38" s="28">
        <f t="shared" si="11"/>
        <v>0</v>
      </c>
      <c r="L38" s="28">
        <f t="shared" si="12"/>
        <v>0</v>
      </c>
      <c r="M38" s="29" t="str">
        <f t="shared" si="13"/>
        <v/>
      </c>
      <c r="N38" s="29" t="str">
        <f t="shared" si="14"/>
        <v/>
      </c>
      <c r="O38" s="30">
        <f t="shared" si="15"/>
        <v>0</v>
      </c>
      <c r="P38" s="30">
        <f t="shared" si="16"/>
        <v>0</v>
      </c>
      <c r="Q38" s="31" t="str">
        <f t="shared" si="17"/>
        <v/>
      </c>
      <c r="R38" s="32" t="str">
        <f t="shared" si="18"/>
        <v/>
      </c>
      <c r="S38" s="32" t="str">
        <f t="shared" si="19"/>
        <v/>
      </c>
      <c r="T38" s="27">
        <f t="array" ref="T38">_xlfn.LET(_xlpm.key,$B38&amp;"|"&amp;$C38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IFERROR(MAX(_xlfn._xlws.FILTER(_xlpm.p,_xlpm.p&lt;&gt;"")),""))</f>
        <v>65000</v>
      </c>
      <c r="U38" s="46">
        <f t="array" ref="U38">_xlfn.LET(_xlpm.key,$B38&amp;"|"&amp;$C38,_xlpm.kdb,价格数据库!$A$3:$A$2000&amp;"|"&amp;价格数据库!$B$3:$B$2000,_xlpm.r,_xlfn.XMATCH(_xlpm.key,_xlpm.kdb,0),_xlpm.row,INDEX(价格数据库!$C$3:$ZZ$2000,_xlpm.r,0),_xlpm.n,INT(COLUMNS(_xlpm.row)/2),_xlpm.p,_xlfn.CHOOSECOLS(_xlpm.row,_xlfn.SEQUENCE(,_xlpm.n,1,2)),_xlpm.q,_xlfn.CHOOSECOLS(_xlpm.row,_xlfn.SEQUENCE(,_xlpm.n,2,2)),_xlpm.mx,IFERROR(MAX(_xlfn._xlws.FILTER(_xlpm.p,_xlpm.p&lt;&gt;"")),""),IF(_xlpm.mx="","",INDEX(_xlpm.q,_xlfn.XMATCH(_xlpm.mx,_xlpm.p,0,-1))))</f>
        <v>1</v>
      </c>
    </row>
    <row r="40" spans="2:21">
      <c r="C40" s="47"/>
    </row>
    <row r="41" spans="2:21">
      <c r="C41" s="47"/>
    </row>
    <row r="42" spans="2:21">
      <c r="C42" s="47"/>
    </row>
  </sheetData>
  <conditionalFormatting sqref="B3:U15">
    <cfRule type="expression" dxfId="0" priority="1">
      <formula>$U3="双绿"</formula>
    </cfRule>
  </conditionalFormatting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6"/>
  <sheetViews>
    <sheetView workbookViewId="0">
      <selection activeCell="H17" sqref="H17"/>
    </sheetView>
  </sheetViews>
  <sheetFormatPr defaultColWidth="9" defaultRowHeight="13.5"/>
  <cols>
    <col min="1" max="2" width="9" style="1"/>
    <col min="3" max="11" width="9.375" style="1" customWidth="1"/>
    <col min="12" max="12" width="9" style="1" customWidth="1"/>
    <col min="13" max="13" width="9.53333333333333" style="1" customWidth="1"/>
    <col min="14" max="14" width="9" style="1" customWidth="1"/>
    <col min="15" max="17" width="9.375" style="1" customWidth="1"/>
    <col min="18" max="18" width="9" style="1" customWidth="1"/>
    <col min="19" max="19" width="9.375" style="1" customWidth="1"/>
    <col min="20" max="20" width="9" style="1" customWidth="1"/>
    <col min="21" max="21" width="9.53333333333333" style="1" customWidth="1"/>
    <col min="22" max="22" width="9" style="1" customWidth="1"/>
    <col min="23" max="23" width="9.375" style="1"/>
    <col min="24" max="16384" width="9" style="1"/>
  </cols>
  <sheetData>
    <row r="1" spans="1:36">
      <c r="C1" s="1">
        <v>20260113</v>
      </c>
      <c r="D1" s="1">
        <v>20260113</v>
      </c>
      <c r="E1" s="1">
        <v>20260118</v>
      </c>
      <c r="F1" s="1">
        <v>20260118</v>
      </c>
      <c r="G1" s="1">
        <v>20260122</v>
      </c>
      <c r="H1" s="1">
        <v>20260122</v>
      </c>
      <c r="I1" s="1">
        <v>20260125</v>
      </c>
      <c r="J1" s="1">
        <v>20260125</v>
      </c>
      <c r="K1" s="1">
        <v>20260129</v>
      </c>
      <c r="L1" s="1">
        <v>20260129</v>
      </c>
      <c r="M1" s="1">
        <v>20260201</v>
      </c>
      <c r="N1" s="1">
        <v>20260201</v>
      </c>
      <c r="O1" s="1">
        <v>20260204</v>
      </c>
      <c r="P1" s="1">
        <v>20260204</v>
      </c>
      <c r="Q1" s="1">
        <v>20260208</v>
      </c>
      <c r="R1" s="1">
        <v>20260208</v>
      </c>
      <c r="S1" s="1">
        <v>20260214</v>
      </c>
      <c r="T1" s="1">
        <v>20260214</v>
      </c>
      <c r="U1" s="1">
        <v>20260222</v>
      </c>
      <c r="V1" s="1">
        <v>20260222</v>
      </c>
      <c r="W1" s="1">
        <v>20260301</v>
      </c>
      <c r="X1" s="1">
        <v>20260301</v>
      </c>
    </row>
    <row r="2" spans="1:36">
      <c r="A2" s="2" t="s">
        <v>16</v>
      </c>
      <c r="B2" s="2" t="s">
        <v>17</v>
      </c>
      <c r="C2" s="1" t="s">
        <v>71</v>
      </c>
      <c r="D2" s="1" t="s">
        <v>72</v>
      </c>
      <c r="E2" s="1" t="s">
        <v>71</v>
      </c>
      <c r="F2" s="1" t="s">
        <v>72</v>
      </c>
      <c r="G2" s="1" t="s">
        <v>71</v>
      </c>
      <c r="H2" s="1" t="s">
        <v>72</v>
      </c>
      <c r="I2" s="1" t="s">
        <v>71</v>
      </c>
      <c r="J2" s="1" t="s">
        <v>72</v>
      </c>
      <c r="K2" s="1" t="s">
        <v>71</v>
      </c>
      <c r="L2" s="1" t="s">
        <v>72</v>
      </c>
      <c r="M2" s="1" t="s">
        <v>71</v>
      </c>
      <c r="N2" s="1" t="s">
        <v>72</v>
      </c>
      <c r="O2" s="1" t="s">
        <v>71</v>
      </c>
      <c r="P2" s="1" t="s">
        <v>72</v>
      </c>
      <c r="Q2" s="1" t="s">
        <v>71</v>
      </c>
      <c r="R2" s="1" t="s">
        <v>72</v>
      </c>
      <c r="S2" s="1" t="s">
        <v>71</v>
      </c>
      <c r="T2" s="1" t="s">
        <v>72</v>
      </c>
      <c r="U2" s="1" t="s">
        <v>71</v>
      </c>
      <c r="V2" s="1" t="s">
        <v>72</v>
      </c>
      <c r="W2" s="1" t="s">
        <v>71</v>
      </c>
      <c r="X2" s="1" t="s">
        <v>72</v>
      </c>
      <c r="Y2" s="1" t="s">
        <v>71</v>
      </c>
      <c r="Z2" s="1" t="s">
        <v>72</v>
      </c>
      <c r="AA2" s="1" t="s">
        <v>71</v>
      </c>
      <c r="AB2" s="1" t="s">
        <v>72</v>
      </c>
      <c r="AC2" s="1" t="s">
        <v>71</v>
      </c>
      <c r="AD2" s="1" t="s">
        <v>72</v>
      </c>
      <c r="AE2" s="1" t="s">
        <v>71</v>
      </c>
      <c r="AF2" s="1" t="s">
        <v>72</v>
      </c>
      <c r="AG2" s="1" t="s">
        <v>71</v>
      </c>
      <c r="AH2" s="1" t="s">
        <v>72</v>
      </c>
      <c r="AI2" s="1" t="s">
        <v>71</v>
      </c>
      <c r="AJ2" s="1" t="s">
        <v>72</v>
      </c>
    </row>
    <row r="3" spans="1:36">
      <c r="A3" s="2" t="s">
        <v>8</v>
      </c>
      <c r="B3" s="2" t="s">
        <v>38</v>
      </c>
      <c r="C3" s="1">
        <v>1833</v>
      </c>
      <c r="D3" s="1">
        <v>43</v>
      </c>
      <c r="E3" s="1">
        <v>1788</v>
      </c>
      <c r="F3" s="1">
        <v>43</v>
      </c>
      <c r="G3" s="1">
        <v>1947</v>
      </c>
      <c r="H3" s="1">
        <v>41</v>
      </c>
      <c r="I3" s="1">
        <v>1898</v>
      </c>
      <c r="J3" s="1">
        <v>40</v>
      </c>
      <c r="K3" s="1">
        <v>1870</v>
      </c>
      <c r="L3" s="1">
        <v>40</v>
      </c>
      <c r="M3" s="1">
        <v>1899</v>
      </c>
      <c r="N3" s="1">
        <v>41</v>
      </c>
      <c r="O3" s="1">
        <v>1859</v>
      </c>
      <c r="P3" s="1">
        <v>38</v>
      </c>
      <c r="Q3" s="1">
        <v>1700</v>
      </c>
      <c r="R3" s="1">
        <v>39</v>
      </c>
      <c r="S3" s="1">
        <v>1800</v>
      </c>
      <c r="T3" s="1">
        <v>41</v>
      </c>
      <c r="U3" s="1">
        <v>1749</v>
      </c>
      <c r="V3" s="1">
        <v>46</v>
      </c>
      <c r="W3" s="1">
        <v>1819</v>
      </c>
      <c r="X3" s="1">
        <v>44</v>
      </c>
    </row>
    <row r="4" spans="1:36">
      <c r="A4" s="2" t="s">
        <v>44</v>
      </c>
      <c r="B4" s="2" t="s">
        <v>38</v>
      </c>
      <c r="C4" s="1">
        <v>2139</v>
      </c>
      <c r="D4" s="1">
        <v>31</v>
      </c>
      <c r="E4" s="1">
        <v>2009</v>
      </c>
      <c r="F4" s="1">
        <v>30</v>
      </c>
      <c r="G4" s="1">
        <v>1999</v>
      </c>
      <c r="H4" s="1">
        <v>31</v>
      </c>
      <c r="I4" s="1">
        <v>1950</v>
      </c>
      <c r="J4" s="1">
        <v>32</v>
      </c>
      <c r="K4" s="1">
        <v>2050</v>
      </c>
      <c r="L4" s="1">
        <v>27</v>
      </c>
      <c r="M4" s="1">
        <v>2050</v>
      </c>
      <c r="N4" s="1">
        <v>28</v>
      </c>
      <c r="O4" s="1">
        <v>1960</v>
      </c>
      <c r="P4" s="1">
        <v>33</v>
      </c>
      <c r="Q4" s="1">
        <v>1880</v>
      </c>
      <c r="R4" s="1">
        <v>38</v>
      </c>
      <c r="S4" s="1">
        <v>1950</v>
      </c>
      <c r="T4" s="1">
        <v>34</v>
      </c>
      <c r="U4" s="1">
        <v>1954</v>
      </c>
      <c r="V4" s="1">
        <v>39</v>
      </c>
      <c r="W4" s="1">
        <v>1900</v>
      </c>
      <c r="X4" s="1">
        <v>39</v>
      </c>
    </row>
    <row r="5" spans="1:36">
      <c r="A5" s="2" t="s">
        <v>39</v>
      </c>
      <c r="B5" s="2" t="s">
        <v>40</v>
      </c>
      <c r="C5" s="1">
        <v>1443</v>
      </c>
      <c r="D5" s="1">
        <v>45</v>
      </c>
      <c r="E5" s="1">
        <v>1445</v>
      </c>
      <c r="F5" s="1">
        <v>48</v>
      </c>
      <c r="G5" s="1">
        <v>1435</v>
      </c>
      <c r="H5" s="1">
        <v>46</v>
      </c>
      <c r="I5" s="1">
        <v>1434</v>
      </c>
      <c r="J5" s="1">
        <v>48</v>
      </c>
      <c r="K5" s="1">
        <v>1450</v>
      </c>
      <c r="L5" s="1">
        <v>46</v>
      </c>
      <c r="M5" s="1">
        <v>1500</v>
      </c>
      <c r="N5" s="1">
        <v>46</v>
      </c>
      <c r="O5" s="1">
        <v>1400</v>
      </c>
      <c r="P5" s="1">
        <v>52</v>
      </c>
      <c r="Q5" s="1">
        <v>1480</v>
      </c>
      <c r="R5" s="1">
        <v>45</v>
      </c>
      <c r="S5" s="1">
        <v>1650</v>
      </c>
      <c r="T5" s="1">
        <v>41</v>
      </c>
      <c r="U5" s="1">
        <v>1779</v>
      </c>
      <c r="V5" s="1">
        <v>40</v>
      </c>
      <c r="W5" s="1">
        <v>1550</v>
      </c>
      <c r="X5" s="1">
        <v>44</v>
      </c>
    </row>
    <row r="6" spans="1:36">
      <c r="A6" s="2" t="s">
        <v>7</v>
      </c>
      <c r="B6" s="2" t="s">
        <v>38</v>
      </c>
      <c r="C6" s="1">
        <v>1900</v>
      </c>
      <c r="D6" s="1">
        <v>33</v>
      </c>
      <c r="E6" s="1">
        <v>1799</v>
      </c>
      <c r="F6" s="1">
        <v>38</v>
      </c>
      <c r="G6" s="1">
        <v>1950</v>
      </c>
      <c r="H6" s="1">
        <v>32</v>
      </c>
      <c r="I6" s="1">
        <v>1900</v>
      </c>
      <c r="J6" s="1">
        <v>39</v>
      </c>
      <c r="K6" s="1">
        <v>1996</v>
      </c>
      <c r="L6" s="1">
        <v>33</v>
      </c>
      <c r="M6" s="1">
        <v>1946</v>
      </c>
      <c r="N6" s="1">
        <v>35</v>
      </c>
      <c r="O6" s="1">
        <v>1888</v>
      </c>
      <c r="P6" s="1">
        <v>36</v>
      </c>
      <c r="Q6" s="1">
        <v>1860</v>
      </c>
      <c r="R6" s="1">
        <v>35</v>
      </c>
      <c r="S6" s="1">
        <v>1835</v>
      </c>
      <c r="T6" s="1">
        <v>37</v>
      </c>
      <c r="U6" s="1">
        <v>1929</v>
      </c>
      <c r="V6" s="1">
        <v>37</v>
      </c>
      <c r="W6" s="1">
        <v>1890</v>
      </c>
      <c r="X6" s="1">
        <v>36</v>
      </c>
    </row>
    <row r="7" spans="1:36">
      <c r="A7" s="2" t="s">
        <v>66</v>
      </c>
      <c r="B7" s="2" t="s">
        <v>67</v>
      </c>
      <c r="C7" s="1">
        <v>18888</v>
      </c>
      <c r="D7" s="1">
        <v>2</v>
      </c>
      <c r="E7" s="1">
        <v>18888</v>
      </c>
      <c r="F7" s="1">
        <v>2</v>
      </c>
      <c r="G7" s="1">
        <v>18888</v>
      </c>
      <c r="H7" s="1">
        <v>2</v>
      </c>
      <c r="I7" s="1">
        <v>18888</v>
      </c>
      <c r="J7" s="1">
        <v>2</v>
      </c>
      <c r="K7" s="1">
        <v>18888</v>
      </c>
      <c r="L7" s="1">
        <v>2</v>
      </c>
      <c r="M7" s="1">
        <v>18888</v>
      </c>
      <c r="N7" s="1">
        <v>2</v>
      </c>
      <c r="O7" s="1">
        <v>18888</v>
      </c>
      <c r="P7" s="1">
        <v>2</v>
      </c>
      <c r="Q7" s="1">
        <v>18888</v>
      </c>
      <c r="R7" s="1">
        <v>2</v>
      </c>
      <c r="S7" s="1">
        <v>18888</v>
      </c>
      <c r="T7" s="1">
        <v>1</v>
      </c>
      <c r="U7" s="1">
        <v>18888</v>
      </c>
      <c r="V7" s="1">
        <v>1</v>
      </c>
      <c r="W7" s="1">
        <v>18888</v>
      </c>
      <c r="X7" s="1">
        <v>1</v>
      </c>
    </row>
    <row r="8" spans="1:36">
      <c r="A8" s="2" t="s">
        <v>54</v>
      </c>
      <c r="B8" s="2" t="s">
        <v>38</v>
      </c>
      <c r="C8" s="1">
        <v>20499</v>
      </c>
      <c r="D8" s="1">
        <v>5</v>
      </c>
      <c r="E8" s="1">
        <v>20500</v>
      </c>
      <c r="F8" s="1">
        <v>4</v>
      </c>
      <c r="G8" s="3">
        <v>20500</v>
      </c>
      <c r="H8" s="3">
        <v>4</v>
      </c>
      <c r="I8" s="1">
        <v>20500</v>
      </c>
      <c r="J8" s="1">
        <v>4</v>
      </c>
      <c r="K8" s="1">
        <v>20500</v>
      </c>
      <c r="L8" s="1">
        <v>3</v>
      </c>
      <c r="M8" s="1">
        <v>18500</v>
      </c>
      <c r="N8" s="1">
        <v>4</v>
      </c>
      <c r="O8" s="1">
        <v>18000</v>
      </c>
      <c r="P8" s="1">
        <v>5</v>
      </c>
      <c r="Q8" s="1">
        <v>18000</v>
      </c>
      <c r="R8" s="1">
        <v>4</v>
      </c>
      <c r="S8" s="1">
        <v>17000</v>
      </c>
      <c r="T8" s="1">
        <v>3</v>
      </c>
      <c r="U8" s="1">
        <v>17000</v>
      </c>
      <c r="V8" s="1">
        <v>3</v>
      </c>
      <c r="W8" s="1">
        <v>24000</v>
      </c>
      <c r="X8" s="1">
        <v>2</v>
      </c>
    </row>
    <row r="9" spans="1:36">
      <c r="A9" s="2" t="s">
        <v>64</v>
      </c>
      <c r="B9" s="2" t="s">
        <v>65</v>
      </c>
      <c r="C9" s="3">
        <v>23888</v>
      </c>
      <c r="D9" s="3">
        <v>7</v>
      </c>
      <c r="E9" s="3">
        <v>19999</v>
      </c>
      <c r="F9" s="3">
        <v>9</v>
      </c>
      <c r="G9" s="3">
        <v>21000</v>
      </c>
      <c r="H9" s="3">
        <v>9</v>
      </c>
      <c r="I9" s="1">
        <v>21000</v>
      </c>
      <c r="J9" s="1">
        <v>9</v>
      </c>
      <c r="K9" s="1">
        <v>21000</v>
      </c>
      <c r="L9" s="1">
        <v>9</v>
      </c>
      <c r="M9" s="1">
        <v>19999</v>
      </c>
      <c r="N9" s="1">
        <v>7</v>
      </c>
      <c r="O9" s="1">
        <v>19999</v>
      </c>
      <c r="P9" s="1">
        <v>8</v>
      </c>
      <c r="Q9" s="1">
        <v>19999</v>
      </c>
      <c r="R9" s="1">
        <v>8</v>
      </c>
      <c r="S9" s="1">
        <v>19996</v>
      </c>
      <c r="T9" s="1">
        <v>8</v>
      </c>
      <c r="U9" s="1">
        <v>19996</v>
      </c>
      <c r="V9" s="1">
        <v>8</v>
      </c>
      <c r="W9" s="1">
        <v>20555</v>
      </c>
      <c r="X9" s="1">
        <v>8</v>
      </c>
    </row>
    <row r="10" spans="1:36">
      <c r="A10" s="2" t="s">
        <v>68</v>
      </c>
      <c r="B10" s="2" t="s">
        <v>38</v>
      </c>
      <c r="C10" s="3">
        <v>50000</v>
      </c>
      <c r="D10" s="3">
        <v>1</v>
      </c>
      <c r="E10" s="3">
        <v>50000</v>
      </c>
      <c r="F10" s="3">
        <v>1</v>
      </c>
      <c r="G10" s="3">
        <v>50000</v>
      </c>
      <c r="H10" s="3">
        <v>1</v>
      </c>
      <c r="I10" s="1">
        <v>50000</v>
      </c>
      <c r="J10" s="1">
        <v>1</v>
      </c>
      <c r="K10" s="1">
        <v>50000</v>
      </c>
      <c r="L10" s="1">
        <v>1</v>
      </c>
      <c r="M10" s="1">
        <v>50000</v>
      </c>
      <c r="N10" s="1">
        <v>1</v>
      </c>
      <c r="O10" s="1">
        <v>50000</v>
      </c>
      <c r="P10" s="1">
        <v>1</v>
      </c>
      <c r="Q10" s="1">
        <v>50000</v>
      </c>
      <c r="R10" s="1">
        <v>1</v>
      </c>
      <c r="S10" s="1">
        <v>50000</v>
      </c>
      <c r="T10" s="1">
        <v>1</v>
      </c>
      <c r="U10" s="1">
        <v>50000</v>
      </c>
      <c r="V10" s="1">
        <v>1</v>
      </c>
      <c r="W10" s="1">
        <v>48888</v>
      </c>
      <c r="X10" s="1">
        <v>1</v>
      </c>
    </row>
    <row r="11" spans="1:36">
      <c r="A11" s="2" t="s">
        <v>53</v>
      </c>
      <c r="B11" s="2" t="s">
        <v>38</v>
      </c>
      <c r="C11" s="3">
        <v>18888</v>
      </c>
      <c r="D11" s="3">
        <v>5</v>
      </c>
      <c r="E11" s="3">
        <v>16658</v>
      </c>
      <c r="F11" s="3">
        <v>7</v>
      </c>
      <c r="G11" s="3">
        <v>15500</v>
      </c>
      <c r="H11" s="3">
        <v>10</v>
      </c>
      <c r="I11" s="1">
        <v>15500</v>
      </c>
      <c r="J11" s="1">
        <v>9</v>
      </c>
      <c r="K11" s="1">
        <v>15999</v>
      </c>
      <c r="L11" s="1">
        <v>8</v>
      </c>
      <c r="M11" s="1">
        <v>15996</v>
      </c>
      <c r="N11" s="1">
        <v>8</v>
      </c>
      <c r="O11" s="1">
        <v>15000</v>
      </c>
      <c r="P11" s="1">
        <v>9</v>
      </c>
      <c r="Q11" s="1">
        <v>15888</v>
      </c>
      <c r="R11" s="1">
        <v>8</v>
      </c>
      <c r="S11" s="1">
        <v>15888</v>
      </c>
      <c r="T11" s="1">
        <v>7</v>
      </c>
      <c r="U11" s="1">
        <v>15000</v>
      </c>
      <c r="V11" s="1">
        <v>7</v>
      </c>
      <c r="W11" s="1">
        <v>22000</v>
      </c>
      <c r="X11" s="1">
        <v>5</v>
      </c>
    </row>
    <row r="12" spans="1:36">
      <c r="A12" s="2" t="s">
        <v>9</v>
      </c>
      <c r="B12" s="2" t="s">
        <v>45</v>
      </c>
      <c r="C12" s="3">
        <v>1984</v>
      </c>
      <c r="D12" s="3">
        <v>30</v>
      </c>
      <c r="E12" s="3">
        <v>1995</v>
      </c>
      <c r="F12" s="3">
        <v>31</v>
      </c>
      <c r="G12" s="3">
        <v>2098</v>
      </c>
      <c r="H12" s="3">
        <v>26</v>
      </c>
      <c r="I12" s="1">
        <v>2200</v>
      </c>
      <c r="J12" s="1">
        <v>29</v>
      </c>
      <c r="K12" s="1">
        <v>2200</v>
      </c>
      <c r="L12" s="1">
        <v>28</v>
      </c>
      <c r="M12" s="1">
        <v>2198</v>
      </c>
      <c r="N12" s="1">
        <v>24</v>
      </c>
      <c r="O12" s="1">
        <v>2090</v>
      </c>
      <c r="P12" s="1">
        <v>31</v>
      </c>
      <c r="Q12" s="1">
        <v>1978</v>
      </c>
      <c r="R12" s="1">
        <v>37</v>
      </c>
      <c r="S12" s="1">
        <v>1895</v>
      </c>
      <c r="T12" s="1">
        <v>39</v>
      </c>
      <c r="U12" s="1">
        <v>1949</v>
      </c>
      <c r="V12" s="1">
        <v>32</v>
      </c>
      <c r="W12" s="1">
        <v>1800</v>
      </c>
      <c r="X12" s="1">
        <v>34</v>
      </c>
    </row>
    <row r="13" spans="1:36">
      <c r="A13" s="2" t="s">
        <v>41</v>
      </c>
      <c r="B13" s="2" t="s">
        <v>42</v>
      </c>
      <c r="C13" s="3">
        <v>4998</v>
      </c>
      <c r="D13" s="3">
        <v>9</v>
      </c>
      <c r="E13" s="3">
        <v>4998</v>
      </c>
      <c r="F13" s="3">
        <v>11</v>
      </c>
      <c r="G13" s="3">
        <v>5299</v>
      </c>
      <c r="H13" s="3">
        <v>8</v>
      </c>
      <c r="I13" s="1">
        <v>5299</v>
      </c>
      <c r="J13" s="1">
        <v>9</v>
      </c>
      <c r="K13" s="1">
        <v>5500</v>
      </c>
      <c r="L13" s="1">
        <v>9</v>
      </c>
      <c r="M13" s="1">
        <v>5499</v>
      </c>
      <c r="N13" s="1">
        <v>11</v>
      </c>
      <c r="O13" s="1">
        <v>5499</v>
      </c>
      <c r="P13" s="1">
        <v>12</v>
      </c>
      <c r="Q13" s="1">
        <v>5100</v>
      </c>
      <c r="R13" s="1">
        <v>12</v>
      </c>
      <c r="S13" s="1">
        <v>4800</v>
      </c>
      <c r="T13" s="1">
        <v>13</v>
      </c>
      <c r="U13" s="1">
        <v>4555</v>
      </c>
      <c r="V13" s="1">
        <v>13</v>
      </c>
      <c r="W13" s="1">
        <v>4887</v>
      </c>
      <c r="X13" s="1">
        <v>11</v>
      </c>
    </row>
    <row r="14" spans="1:36">
      <c r="A14" s="2" t="s">
        <v>62</v>
      </c>
      <c r="B14" s="2" t="s">
        <v>38</v>
      </c>
      <c r="C14" s="3">
        <v>21000</v>
      </c>
      <c r="D14" s="3">
        <v>2</v>
      </c>
      <c r="E14" s="3">
        <v>21000</v>
      </c>
      <c r="F14" s="3">
        <v>2</v>
      </c>
      <c r="G14" s="3">
        <v>22222</v>
      </c>
      <c r="H14" s="3">
        <v>1</v>
      </c>
      <c r="I14" s="1">
        <v>20000</v>
      </c>
      <c r="J14" s="1">
        <v>2</v>
      </c>
      <c r="K14" s="1">
        <v>20000</v>
      </c>
      <c r="L14" s="1">
        <v>2</v>
      </c>
      <c r="M14" s="1">
        <v>19000</v>
      </c>
      <c r="N14" s="1">
        <v>3</v>
      </c>
      <c r="O14" s="1">
        <v>19000</v>
      </c>
      <c r="P14" s="1">
        <v>3</v>
      </c>
      <c r="Q14" s="1">
        <v>19000</v>
      </c>
      <c r="R14" s="1">
        <v>3</v>
      </c>
      <c r="S14" s="1">
        <v>20000</v>
      </c>
      <c r="T14" s="1">
        <v>2</v>
      </c>
      <c r="U14" s="1">
        <v>20000</v>
      </c>
      <c r="V14" s="1">
        <v>2</v>
      </c>
      <c r="W14" s="1">
        <v>20000</v>
      </c>
      <c r="X14" s="1">
        <v>2</v>
      </c>
    </row>
    <row r="15" spans="1:36">
      <c r="A15" s="2" t="s">
        <v>69</v>
      </c>
      <c r="B15" s="2" t="s">
        <v>38</v>
      </c>
      <c r="C15" s="3">
        <v>54888</v>
      </c>
      <c r="D15" s="3">
        <v>3</v>
      </c>
      <c r="E15" s="3">
        <v>55555</v>
      </c>
      <c r="F15" s="3">
        <v>3</v>
      </c>
      <c r="G15" s="3">
        <v>53500</v>
      </c>
      <c r="H15" s="3">
        <v>5</v>
      </c>
      <c r="I15" s="1">
        <v>53500</v>
      </c>
      <c r="J15" s="1">
        <v>4</v>
      </c>
      <c r="K15" s="1">
        <v>50999</v>
      </c>
      <c r="L15" s="1">
        <v>5</v>
      </c>
      <c r="M15" s="1">
        <v>50885</v>
      </c>
      <c r="N15" s="1">
        <v>6</v>
      </c>
      <c r="O15" s="1">
        <v>50500</v>
      </c>
      <c r="P15" s="1">
        <v>6</v>
      </c>
      <c r="Q15" s="1">
        <v>48999</v>
      </c>
      <c r="R15" s="1">
        <v>6</v>
      </c>
      <c r="S15" s="1">
        <v>46666</v>
      </c>
      <c r="T15" s="1">
        <v>6</v>
      </c>
      <c r="U15" s="1">
        <v>44000</v>
      </c>
      <c r="V15" s="1">
        <v>5</v>
      </c>
      <c r="W15" s="1">
        <v>42988</v>
      </c>
      <c r="X15" s="1">
        <v>5</v>
      </c>
    </row>
    <row r="16" spans="1:36">
      <c r="A16" s="2" t="s">
        <v>6</v>
      </c>
      <c r="B16" s="2" t="s">
        <v>35</v>
      </c>
      <c r="C16" s="3">
        <v>4500</v>
      </c>
      <c r="D16" s="3">
        <v>20</v>
      </c>
      <c r="E16" s="3">
        <v>3997</v>
      </c>
      <c r="F16" s="3">
        <v>20</v>
      </c>
      <c r="G16" s="3">
        <v>4288</v>
      </c>
      <c r="H16" s="3">
        <v>18</v>
      </c>
      <c r="I16" s="1">
        <v>4230</v>
      </c>
      <c r="J16" s="1">
        <v>20</v>
      </c>
      <c r="K16" s="1">
        <v>4998</v>
      </c>
      <c r="L16" s="1">
        <v>12</v>
      </c>
      <c r="M16" s="1">
        <v>5998</v>
      </c>
      <c r="N16" s="1">
        <v>14</v>
      </c>
      <c r="O16" s="1">
        <v>5800</v>
      </c>
      <c r="P16" s="1">
        <v>15</v>
      </c>
      <c r="Q16" s="1">
        <v>5050</v>
      </c>
      <c r="R16" s="1">
        <v>18</v>
      </c>
      <c r="S16" s="1">
        <v>5000</v>
      </c>
      <c r="T16" s="1">
        <v>16</v>
      </c>
      <c r="U16" s="1">
        <v>5278</v>
      </c>
      <c r="V16" s="1">
        <v>16</v>
      </c>
      <c r="W16" s="1">
        <v>5100</v>
      </c>
      <c r="X16" s="1">
        <v>15</v>
      </c>
    </row>
    <row r="17" spans="1:24">
      <c r="A17" s="2" t="s">
        <v>51</v>
      </c>
      <c r="B17" s="2" t="s">
        <v>38</v>
      </c>
      <c r="C17" s="3">
        <v>15200</v>
      </c>
      <c r="D17" s="3">
        <v>8</v>
      </c>
      <c r="E17" s="3">
        <v>20000</v>
      </c>
      <c r="F17" s="3">
        <v>4</v>
      </c>
      <c r="G17" s="3">
        <v>18999</v>
      </c>
      <c r="H17" s="3">
        <v>5</v>
      </c>
      <c r="I17" s="1">
        <v>20000</v>
      </c>
      <c r="J17" s="1">
        <v>4</v>
      </c>
      <c r="K17" s="1">
        <v>24000</v>
      </c>
      <c r="L17" s="1">
        <v>4</v>
      </c>
      <c r="M17" s="1">
        <v>24000</v>
      </c>
      <c r="N17" s="1">
        <v>3</v>
      </c>
      <c r="O17" s="1">
        <v>24000</v>
      </c>
      <c r="P17" s="1">
        <v>3</v>
      </c>
      <c r="Q17" s="1">
        <v>23888</v>
      </c>
      <c r="R17" s="1">
        <v>4</v>
      </c>
      <c r="S17" s="1">
        <v>27000</v>
      </c>
      <c r="T17" s="1">
        <v>3</v>
      </c>
      <c r="U17" s="1">
        <v>27000</v>
      </c>
      <c r="V17" s="1">
        <v>3</v>
      </c>
      <c r="W17" s="1">
        <v>27000</v>
      </c>
      <c r="X17" s="1">
        <v>2</v>
      </c>
    </row>
    <row r="18" spans="1:24">
      <c r="A18" s="2" t="s">
        <v>51</v>
      </c>
      <c r="B18" s="2" t="s">
        <v>60</v>
      </c>
      <c r="C18" s="3">
        <v>18888</v>
      </c>
      <c r="D18" s="3">
        <v>5</v>
      </c>
      <c r="E18" s="3">
        <v>19994</v>
      </c>
      <c r="F18" s="3">
        <v>7</v>
      </c>
      <c r="G18" s="3">
        <v>16555</v>
      </c>
      <c r="H18" s="3">
        <v>9</v>
      </c>
      <c r="I18" s="1">
        <v>18885</v>
      </c>
      <c r="J18" s="1">
        <v>8</v>
      </c>
      <c r="K18" s="1">
        <v>17000</v>
      </c>
      <c r="L18" s="1">
        <v>8</v>
      </c>
      <c r="M18" s="1">
        <v>16500</v>
      </c>
      <c r="N18" s="1">
        <v>8</v>
      </c>
      <c r="O18" s="1">
        <v>15888</v>
      </c>
      <c r="P18" s="1">
        <v>7</v>
      </c>
      <c r="Q18" s="1">
        <v>15200</v>
      </c>
      <c r="R18" s="1">
        <v>8</v>
      </c>
      <c r="S18" s="1">
        <v>16500</v>
      </c>
      <c r="T18" s="1">
        <v>7</v>
      </c>
      <c r="U18" s="1">
        <v>16500</v>
      </c>
      <c r="V18" s="1">
        <v>7</v>
      </c>
      <c r="W18" s="1">
        <v>17399</v>
      </c>
      <c r="X18" s="1">
        <v>6</v>
      </c>
    </row>
    <row r="19" spans="1:24">
      <c r="A19" s="2" t="s">
        <v>70</v>
      </c>
      <c r="B19" s="2" t="s">
        <v>38</v>
      </c>
      <c r="C19" s="3">
        <v>65000</v>
      </c>
      <c r="D19" s="3">
        <v>2</v>
      </c>
      <c r="E19" s="3">
        <v>65000</v>
      </c>
      <c r="F19" s="3">
        <v>2</v>
      </c>
      <c r="G19" s="3">
        <v>65000</v>
      </c>
      <c r="H19" s="3">
        <v>2</v>
      </c>
      <c r="I19" s="1">
        <v>65000</v>
      </c>
      <c r="J19" s="1">
        <v>2</v>
      </c>
      <c r="K19" s="1">
        <v>65000</v>
      </c>
      <c r="L19" s="1">
        <v>2</v>
      </c>
      <c r="M19" s="1">
        <v>65000</v>
      </c>
      <c r="N19" s="1">
        <v>2</v>
      </c>
      <c r="O19" s="1">
        <v>65000</v>
      </c>
      <c r="P19" s="1">
        <v>2</v>
      </c>
      <c r="Q19" s="1">
        <v>65000</v>
      </c>
      <c r="R19" s="1">
        <v>2</v>
      </c>
      <c r="S19" s="1">
        <v>65000</v>
      </c>
      <c r="T19" s="1">
        <v>2</v>
      </c>
      <c r="U19" s="1">
        <v>65000</v>
      </c>
      <c r="V19" s="1">
        <v>1</v>
      </c>
      <c r="W19" s="1">
        <v>65000</v>
      </c>
      <c r="X19" s="1">
        <v>1</v>
      </c>
    </row>
    <row r="20" spans="1:24">
      <c r="A20" s="2" t="s">
        <v>47</v>
      </c>
      <c r="B20" s="2" t="s">
        <v>38</v>
      </c>
      <c r="C20" s="3">
        <v>10000</v>
      </c>
      <c r="D20" s="3">
        <v>6</v>
      </c>
      <c r="E20" s="3">
        <v>9999</v>
      </c>
      <c r="F20" s="3">
        <v>8</v>
      </c>
      <c r="G20" s="3">
        <v>9999</v>
      </c>
      <c r="H20" s="3">
        <v>7</v>
      </c>
      <c r="I20" s="1">
        <v>9999</v>
      </c>
      <c r="J20" s="1">
        <v>7</v>
      </c>
      <c r="K20" s="1">
        <v>9999</v>
      </c>
      <c r="L20" s="1">
        <v>5</v>
      </c>
      <c r="M20" s="1">
        <v>9000</v>
      </c>
      <c r="N20" s="1">
        <v>6</v>
      </c>
      <c r="O20" s="1">
        <v>8999</v>
      </c>
      <c r="P20" s="1">
        <v>5</v>
      </c>
      <c r="Q20" s="1">
        <v>8888</v>
      </c>
      <c r="R20" s="1">
        <v>6</v>
      </c>
      <c r="S20" s="1">
        <v>8888</v>
      </c>
      <c r="T20" s="1">
        <v>6</v>
      </c>
      <c r="U20" s="1">
        <v>8500</v>
      </c>
      <c r="V20" s="1">
        <v>8</v>
      </c>
      <c r="W20" s="1">
        <v>8500</v>
      </c>
      <c r="X20" s="1">
        <v>8</v>
      </c>
    </row>
    <row r="21" spans="1:24">
      <c r="A21" s="2" t="s">
        <v>57</v>
      </c>
      <c r="B21" s="2" t="s">
        <v>35</v>
      </c>
      <c r="C21" s="3">
        <v>29000</v>
      </c>
      <c r="D21" s="3">
        <v>4</v>
      </c>
      <c r="E21" s="3">
        <v>29000</v>
      </c>
      <c r="F21" s="3">
        <v>4</v>
      </c>
      <c r="G21" s="3">
        <v>29000</v>
      </c>
      <c r="H21" s="3">
        <v>4</v>
      </c>
      <c r="I21" s="1">
        <v>29000</v>
      </c>
      <c r="J21" s="1">
        <v>4</v>
      </c>
      <c r="K21" s="1">
        <v>29000</v>
      </c>
      <c r="L21" s="1">
        <v>3</v>
      </c>
      <c r="M21" s="1">
        <v>29000</v>
      </c>
      <c r="N21" s="1">
        <v>2</v>
      </c>
      <c r="O21" s="1">
        <v>29000</v>
      </c>
      <c r="P21" s="1">
        <v>2</v>
      </c>
      <c r="Q21" s="1">
        <v>29000</v>
      </c>
      <c r="R21" s="1">
        <v>2</v>
      </c>
      <c r="S21" s="1">
        <v>35000</v>
      </c>
      <c r="T21" s="1">
        <v>2</v>
      </c>
      <c r="U21" s="1">
        <v>35000</v>
      </c>
      <c r="V21" s="1">
        <v>2</v>
      </c>
      <c r="W21" s="1">
        <v>35000</v>
      </c>
      <c r="X21" s="1">
        <v>2</v>
      </c>
    </row>
    <row r="22" spans="1:24">
      <c r="A22" s="2" t="s">
        <v>36</v>
      </c>
      <c r="B22" s="2" t="s">
        <v>35</v>
      </c>
      <c r="C22" s="3">
        <v>1500</v>
      </c>
      <c r="D22" s="3">
        <v>46</v>
      </c>
      <c r="E22" s="3">
        <v>1511</v>
      </c>
      <c r="F22" s="3">
        <v>52</v>
      </c>
      <c r="G22" s="3">
        <v>1499</v>
      </c>
      <c r="H22" s="3">
        <v>49</v>
      </c>
      <c r="I22" s="1">
        <v>1489</v>
      </c>
      <c r="J22" s="1">
        <v>51</v>
      </c>
      <c r="K22" s="1">
        <v>1560</v>
      </c>
      <c r="L22" s="1">
        <v>43</v>
      </c>
      <c r="M22" s="1">
        <v>1600</v>
      </c>
      <c r="N22" s="1">
        <v>43</v>
      </c>
      <c r="O22" s="1">
        <v>1566</v>
      </c>
      <c r="P22" s="1">
        <v>50</v>
      </c>
      <c r="Q22" s="1">
        <v>1500</v>
      </c>
      <c r="R22" s="1">
        <v>51</v>
      </c>
      <c r="S22" s="1">
        <v>1570</v>
      </c>
      <c r="T22" s="1">
        <v>48</v>
      </c>
      <c r="U22" s="1">
        <v>1859</v>
      </c>
      <c r="V22" s="1">
        <v>39</v>
      </c>
      <c r="W22" s="1">
        <v>1885</v>
      </c>
      <c r="X22" s="1">
        <v>44</v>
      </c>
    </row>
    <row r="23" spans="1:24">
      <c r="A23" s="2" t="s">
        <v>55</v>
      </c>
      <c r="B23" s="2" t="s">
        <v>35</v>
      </c>
      <c r="C23" s="3">
        <v>19400</v>
      </c>
      <c r="D23" s="3">
        <v>7</v>
      </c>
      <c r="E23" s="3">
        <v>21000</v>
      </c>
      <c r="F23" s="3">
        <v>6</v>
      </c>
      <c r="G23" s="3">
        <v>20777</v>
      </c>
      <c r="H23" s="3">
        <v>6</v>
      </c>
      <c r="I23" s="1">
        <v>21666</v>
      </c>
      <c r="J23" s="1">
        <v>6</v>
      </c>
      <c r="K23" s="1">
        <v>17388</v>
      </c>
      <c r="L23" s="1">
        <v>6</v>
      </c>
      <c r="M23" s="1">
        <v>21500</v>
      </c>
      <c r="N23" s="1">
        <v>7</v>
      </c>
      <c r="O23" s="1">
        <v>21500</v>
      </c>
      <c r="P23" s="1">
        <v>7</v>
      </c>
      <c r="Q23" s="1">
        <v>21500</v>
      </c>
      <c r="R23" s="1">
        <v>7</v>
      </c>
      <c r="S23" s="1">
        <v>18000</v>
      </c>
      <c r="T23" s="1">
        <v>7</v>
      </c>
      <c r="U23" s="1">
        <v>18000</v>
      </c>
      <c r="V23" s="1">
        <v>7</v>
      </c>
      <c r="W23" s="1">
        <v>23500</v>
      </c>
      <c r="X23" s="1">
        <v>7</v>
      </c>
    </row>
    <row r="24" spans="1:24">
      <c r="A24" s="2" t="s">
        <v>55</v>
      </c>
      <c r="B24" s="2" t="s">
        <v>59</v>
      </c>
      <c r="C24" s="3">
        <v>18500</v>
      </c>
      <c r="D24" s="3">
        <v>5</v>
      </c>
      <c r="E24" s="3">
        <v>18500</v>
      </c>
      <c r="F24" s="3">
        <v>5</v>
      </c>
      <c r="G24" s="3">
        <v>17500</v>
      </c>
      <c r="H24" s="3">
        <v>7</v>
      </c>
      <c r="I24" s="1">
        <v>17000</v>
      </c>
      <c r="J24" s="1">
        <v>7</v>
      </c>
      <c r="K24" s="1">
        <v>21500</v>
      </c>
      <c r="L24" s="1">
        <v>7</v>
      </c>
      <c r="M24" s="1">
        <v>17400</v>
      </c>
      <c r="N24" s="1">
        <v>7</v>
      </c>
      <c r="O24" s="1">
        <v>17399</v>
      </c>
      <c r="P24" s="1">
        <v>7</v>
      </c>
      <c r="Q24" s="1">
        <v>17399</v>
      </c>
      <c r="R24" s="1">
        <v>6</v>
      </c>
      <c r="S24" s="1">
        <v>17399</v>
      </c>
      <c r="T24" s="1">
        <v>6</v>
      </c>
      <c r="U24" s="1">
        <v>17999</v>
      </c>
      <c r="V24" s="1">
        <v>5</v>
      </c>
      <c r="W24" s="1">
        <v>17999</v>
      </c>
      <c r="X24" s="1">
        <v>5</v>
      </c>
    </row>
    <row r="25" spans="1:24">
      <c r="A25" s="2" t="s">
        <v>61</v>
      </c>
      <c r="B25" s="2" t="s">
        <v>38</v>
      </c>
      <c r="C25" s="3">
        <v>24000</v>
      </c>
      <c r="D25" s="3">
        <v>2</v>
      </c>
      <c r="E25" s="3">
        <v>24000</v>
      </c>
      <c r="F25" s="3">
        <v>3</v>
      </c>
      <c r="G25" s="3">
        <v>24000</v>
      </c>
      <c r="H25" s="3">
        <v>3</v>
      </c>
      <c r="I25" s="1">
        <v>24000</v>
      </c>
      <c r="J25" s="1">
        <v>3</v>
      </c>
      <c r="K25" s="1">
        <v>24000</v>
      </c>
      <c r="L25" s="1">
        <v>3</v>
      </c>
      <c r="M25" s="1">
        <v>24000</v>
      </c>
      <c r="N25" s="1">
        <v>3</v>
      </c>
      <c r="O25" s="1">
        <v>24000</v>
      </c>
      <c r="P25" s="1">
        <v>3</v>
      </c>
      <c r="Q25" s="1">
        <v>26000</v>
      </c>
      <c r="R25" s="1">
        <v>3</v>
      </c>
      <c r="S25" s="1">
        <v>26000</v>
      </c>
      <c r="T25" s="1">
        <v>3</v>
      </c>
      <c r="U25" s="1">
        <v>26000</v>
      </c>
      <c r="V25" s="1">
        <v>3</v>
      </c>
      <c r="W25" s="1">
        <v>26000</v>
      </c>
      <c r="X25" s="1">
        <v>3</v>
      </c>
    </row>
    <row r="26" spans="1:24">
      <c r="A26" s="2" t="s">
        <v>37</v>
      </c>
      <c r="B26" s="2" t="s">
        <v>38</v>
      </c>
      <c r="C26" s="3">
        <v>8600</v>
      </c>
      <c r="D26" s="3">
        <v>9</v>
      </c>
      <c r="E26" s="3">
        <v>8100</v>
      </c>
      <c r="F26" s="3">
        <v>8</v>
      </c>
      <c r="G26" s="3">
        <v>8100</v>
      </c>
      <c r="H26" s="3">
        <v>8</v>
      </c>
      <c r="I26" s="1">
        <v>7650</v>
      </c>
      <c r="J26" s="1">
        <v>8</v>
      </c>
      <c r="K26" s="1">
        <v>7200</v>
      </c>
      <c r="L26" s="1">
        <v>13</v>
      </c>
      <c r="M26" s="1">
        <v>6800</v>
      </c>
      <c r="N26" s="1">
        <v>13</v>
      </c>
      <c r="O26" s="1">
        <v>6900</v>
      </c>
      <c r="P26" s="1">
        <v>12</v>
      </c>
      <c r="Q26" s="1">
        <v>6900</v>
      </c>
      <c r="R26" s="1">
        <v>11</v>
      </c>
      <c r="S26" s="1">
        <v>6700</v>
      </c>
      <c r="T26" s="1">
        <v>12</v>
      </c>
      <c r="U26" s="1">
        <v>7000</v>
      </c>
      <c r="V26" s="1">
        <v>12</v>
      </c>
      <c r="W26" s="1">
        <v>8450</v>
      </c>
      <c r="X26" s="1">
        <v>9</v>
      </c>
    </row>
    <row r="27" spans="1:24">
      <c r="A27" s="2" t="s">
        <v>58</v>
      </c>
      <c r="B27" s="2" t="s">
        <v>38</v>
      </c>
      <c r="C27" s="3">
        <v>17000</v>
      </c>
      <c r="D27" s="3">
        <v>7</v>
      </c>
      <c r="E27" s="3">
        <v>15000</v>
      </c>
      <c r="F27" s="3">
        <v>7</v>
      </c>
      <c r="G27" s="3">
        <v>15000</v>
      </c>
      <c r="H27" s="3">
        <v>8</v>
      </c>
      <c r="I27" s="1">
        <v>15000</v>
      </c>
      <c r="J27" s="1">
        <v>7</v>
      </c>
      <c r="K27" s="1">
        <v>17888</v>
      </c>
      <c r="L27" s="1">
        <v>6</v>
      </c>
      <c r="M27" s="1">
        <v>17888</v>
      </c>
      <c r="N27" s="1">
        <v>6</v>
      </c>
      <c r="O27" s="1">
        <v>17888</v>
      </c>
      <c r="P27" s="1">
        <v>6</v>
      </c>
      <c r="Q27" s="1">
        <v>17888</v>
      </c>
      <c r="R27" s="1">
        <v>6</v>
      </c>
      <c r="S27" s="1">
        <v>17888</v>
      </c>
      <c r="T27" s="1">
        <v>6</v>
      </c>
      <c r="U27" s="1">
        <v>16666</v>
      </c>
      <c r="V27" s="1">
        <v>7</v>
      </c>
      <c r="W27" s="1">
        <v>17500</v>
      </c>
      <c r="X27" s="1">
        <v>6</v>
      </c>
    </row>
    <row r="28" spans="1:24">
      <c r="A28" s="2" t="s">
        <v>50</v>
      </c>
      <c r="B28" s="2" t="s">
        <v>35</v>
      </c>
      <c r="C28" s="3">
        <v>150000</v>
      </c>
      <c r="D28" s="3">
        <v>1</v>
      </c>
      <c r="E28" s="3">
        <v>150000</v>
      </c>
      <c r="F28" s="3">
        <v>1</v>
      </c>
      <c r="G28" s="3">
        <v>150000</v>
      </c>
      <c r="H28" s="3">
        <v>1</v>
      </c>
      <c r="I28" s="1">
        <v>150000</v>
      </c>
      <c r="J28" s="1">
        <v>1</v>
      </c>
      <c r="K28" s="1">
        <v>150000</v>
      </c>
      <c r="L28" s="1">
        <v>1</v>
      </c>
      <c r="M28" s="1">
        <v>150000</v>
      </c>
      <c r="N28" s="1">
        <v>1</v>
      </c>
      <c r="O28" s="1">
        <v>150000</v>
      </c>
      <c r="P28" s="1">
        <v>1</v>
      </c>
      <c r="Q28" s="1">
        <v>150000</v>
      </c>
      <c r="R28" s="1">
        <v>1</v>
      </c>
      <c r="S28" s="1">
        <v>150000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</row>
    <row r="29" spans="1:24">
      <c r="A29" s="2" t="s">
        <v>50</v>
      </c>
      <c r="B29" s="2" t="s">
        <v>59</v>
      </c>
      <c r="C29" s="3">
        <v>18988</v>
      </c>
      <c r="D29" s="3">
        <v>6</v>
      </c>
      <c r="E29" s="3">
        <v>17999</v>
      </c>
      <c r="F29" s="3">
        <v>7</v>
      </c>
      <c r="G29" s="3">
        <v>17888</v>
      </c>
      <c r="H29" s="3">
        <v>6</v>
      </c>
      <c r="I29" s="1">
        <v>19999</v>
      </c>
      <c r="J29" s="1">
        <v>3</v>
      </c>
      <c r="K29" s="1">
        <v>20999</v>
      </c>
      <c r="L29" s="1">
        <v>3</v>
      </c>
      <c r="M29" s="1">
        <v>20800</v>
      </c>
      <c r="N29" s="1">
        <v>4</v>
      </c>
      <c r="O29" s="1">
        <v>20000</v>
      </c>
      <c r="P29" s="1">
        <v>5</v>
      </c>
      <c r="Q29" s="1">
        <v>18999</v>
      </c>
      <c r="R29" s="1">
        <v>6</v>
      </c>
      <c r="S29" s="1">
        <v>19000</v>
      </c>
      <c r="T29" s="1">
        <v>6</v>
      </c>
      <c r="U29" s="1">
        <v>18500</v>
      </c>
      <c r="V29" s="1">
        <v>4</v>
      </c>
      <c r="W29" s="1">
        <v>20600</v>
      </c>
      <c r="X29" s="1">
        <v>5</v>
      </c>
    </row>
    <row r="30" spans="1:24">
      <c r="A30" s="2" t="s">
        <v>43</v>
      </c>
      <c r="B30" s="2" t="s">
        <v>38</v>
      </c>
      <c r="C30" s="3">
        <v>1698</v>
      </c>
      <c r="D30" s="3">
        <v>40</v>
      </c>
      <c r="E30" s="3">
        <v>1690</v>
      </c>
      <c r="F30" s="3">
        <v>41</v>
      </c>
      <c r="G30" s="3">
        <v>1689</v>
      </c>
      <c r="H30" s="3">
        <v>42</v>
      </c>
      <c r="I30" s="1">
        <v>1550</v>
      </c>
      <c r="J30" s="1">
        <v>47</v>
      </c>
      <c r="K30" s="1">
        <v>1567</v>
      </c>
      <c r="L30" s="1">
        <v>50</v>
      </c>
      <c r="M30" s="1">
        <v>1549</v>
      </c>
      <c r="N30" s="1">
        <v>48</v>
      </c>
      <c r="O30" s="1">
        <v>1490</v>
      </c>
      <c r="P30" s="1">
        <v>58</v>
      </c>
      <c r="Q30" s="1">
        <v>1488</v>
      </c>
      <c r="R30" s="1">
        <v>54</v>
      </c>
      <c r="S30" s="1">
        <v>1500</v>
      </c>
      <c r="T30" s="1">
        <v>52</v>
      </c>
      <c r="U30" s="1">
        <v>1538</v>
      </c>
      <c r="V30" s="1">
        <v>51</v>
      </c>
      <c r="W30" s="1">
        <v>1550</v>
      </c>
      <c r="X30" s="1">
        <v>47</v>
      </c>
    </row>
    <row r="31" spans="1:24">
      <c r="A31" s="2" t="s">
        <v>46</v>
      </c>
      <c r="B31" s="2" t="s">
        <v>45</v>
      </c>
      <c r="C31" s="3">
        <v>4700</v>
      </c>
      <c r="D31" s="3">
        <v>14</v>
      </c>
      <c r="E31" s="3">
        <v>4666</v>
      </c>
      <c r="F31" s="3">
        <v>14</v>
      </c>
      <c r="G31" s="3">
        <v>4280</v>
      </c>
      <c r="H31" s="3">
        <v>15</v>
      </c>
      <c r="I31" s="1">
        <v>4280</v>
      </c>
      <c r="J31" s="1">
        <v>13</v>
      </c>
      <c r="K31" s="1">
        <v>4200</v>
      </c>
      <c r="L31" s="1">
        <v>14</v>
      </c>
      <c r="M31" s="1">
        <v>4666</v>
      </c>
      <c r="N31" s="1">
        <v>11</v>
      </c>
      <c r="O31" s="1">
        <v>4340</v>
      </c>
      <c r="P31" s="1">
        <v>15</v>
      </c>
      <c r="Q31" s="1">
        <v>4146</v>
      </c>
      <c r="R31" s="1">
        <v>14</v>
      </c>
      <c r="S31" s="1">
        <v>4400</v>
      </c>
      <c r="T31" s="1">
        <v>13</v>
      </c>
      <c r="U31" s="1">
        <v>3900</v>
      </c>
      <c r="V31" s="1">
        <v>14</v>
      </c>
      <c r="W31" s="1">
        <v>3766</v>
      </c>
      <c r="X31" s="1">
        <v>16</v>
      </c>
    </row>
    <row r="32" spans="1:24">
      <c r="A32" s="2" t="s">
        <v>63</v>
      </c>
      <c r="B32" s="2" t="s">
        <v>42</v>
      </c>
      <c r="C32" s="3">
        <v>12000</v>
      </c>
      <c r="D32" s="3">
        <v>3</v>
      </c>
      <c r="E32" s="3">
        <v>12500</v>
      </c>
      <c r="F32" s="3">
        <v>4</v>
      </c>
      <c r="G32" s="3">
        <v>11888</v>
      </c>
      <c r="H32" s="3">
        <v>4</v>
      </c>
      <c r="I32" s="1">
        <v>11000</v>
      </c>
      <c r="J32" s="1">
        <v>4</v>
      </c>
      <c r="K32" s="1">
        <v>12388</v>
      </c>
      <c r="L32" s="1">
        <v>5</v>
      </c>
      <c r="M32" s="1">
        <v>12000</v>
      </c>
      <c r="N32" s="1">
        <v>5</v>
      </c>
      <c r="O32" s="1">
        <v>11500</v>
      </c>
      <c r="P32" s="1">
        <v>6</v>
      </c>
      <c r="Q32" s="1">
        <v>11087</v>
      </c>
      <c r="R32" s="1">
        <v>6</v>
      </c>
      <c r="S32" s="1">
        <v>10665</v>
      </c>
      <c r="T32" s="1">
        <v>4</v>
      </c>
      <c r="U32" s="1">
        <v>9999</v>
      </c>
      <c r="V32" s="1">
        <v>6</v>
      </c>
      <c r="W32" s="1">
        <v>10500</v>
      </c>
      <c r="X32" s="1">
        <v>4</v>
      </c>
    </row>
    <row r="33" spans="1:24">
      <c r="A33" s="2" t="s">
        <v>10</v>
      </c>
      <c r="B33" s="2" t="s">
        <v>38</v>
      </c>
      <c r="C33" s="3">
        <v>2590</v>
      </c>
      <c r="D33" s="3">
        <v>19</v>
      </c>
      <c r="E33" s="3">
        <v>2566</v>
      </c>
      <c r="F33" s="3">
        <v>22</v>
      </c>
      <c r="G33" s="3">
        <v>2600</v>
      </c>
      <c r="H33" s="3">
        <v>23</v>
      </c>
      <c r="I33" s="1">
        <v>2799</v>
      </c>
      <c r="J33" s="1">
        <v>23</v>
      </c>
      <c r="K33" s="1">
        <v>2699</v>
      </c>
      <c r="L33" s="1">
        <v>25</v>
      </c>
      <c r="M33" s="1">
        <v>2650</v>
      </c>
      <c r="N33" s="1">
        <v>23</v>
      </c>
      <c r="O33" s="1">
        <v>2588</v>
      </c>
      <c r="P33" s="1">
        <v>24</v>
      </c>
      <c r="Q33" s="1">
        <v>2500</v>
      </c>
      <c r="R33" s="1">
        <v>29</v>
      </c>
      <c r="S33" s="1">
        <v>2299</v>
      </c>
      <c r="T33" s="1">
        <v>34</v>
      </c>
      <c r="U33" s="1">
        <v>2397</v>
      </c>
      <c r="V33" s="1">
        <v>30</v>
      </c>
      <c r="W33" s="1">
        <v>2595</v>
      </c>
      <c r="X33" s="1">
        <v>31</v>
      </c>
    </row>
    <row r="34" spans="1:24">
      <c r="A34" s="2" t="s">
        <v>10</v>
      </c>
      <c r="B34" s="2" t="s">
        <v>42</v>
      </c>
      <c r="C34" s="3">
        <v>13000</v>
      </c>
      <c r="D34" s="3">
        <v>6</v>
      </c>
      <c r="E34" s="3">
        <v>10400</v>
      </c>
      <c r="F34" s="3">
        <v>6</v>
      </c>
      <c r="G34" s="3">
        <v>12999</v>
      </c>
      <c r="H34" s="3">
        <v>7</v>
      </c>
      <c r="I34" s="1">
        <v>12999</v>
      </c>
      <c r="J34" s="1">
        <v>6</v>
      </c>
      <c r="K34" s="1">
        <v>14000</v>
      </c>
      <c r="L34" s="1">
        <v>7</v>
      </c>
      <c r="M34" s="1">
        <v>13999</v>
      </c>
      <c r="N34" s="1">
        <v>7</v>
      </c>
      <c r="O34" s="1">
        <v>13999</v>
      </c>
      <c r="P34" s="1">
        <v>6</v>
      </c>
      <c r="Q34" s="1">
        <v>13999</v>
      </c>
      <c r="R34" s="1">
        <v>6</v>
      </c>
      <c r="S34" s="1">
        <v>13999</v>
      </c>
      <c r="T34" s="1">
        <v>6</v>
      </c>
      <c r="U34" s="1">
        <v>13888</v>
      </c>
      <c r="V34" s="1">
        <v>7</v>
      </c>
      <c r="W34" s="1">
        <v>13888</v>
      </c>
      <c r="X34" s="1">
        <v>7</v>
      </c>
    </row>
    <row r="35" spans="1:24">
      <c r="A35" s="2" t="s">
        <v>56</v>
      </c>
      <c r="B35" s="2" t="s">
        <v>42</v>
      </c>
      <c r="C35" s="1">
        <v>24000</v>
      </c>
      <c r="D35" s="1">
        <v>3</v>
      </c>
      <c r="E35" s="1">
        <v>24500</v>
      </c>
      <c r="F35" s="1">
        <v>3</v>
      </c>
      <c r="G35" s="3">
        <v>24500</v>
      </c>
      <c r="H35" s="3">
        <v>3</v>
      </c>
      <c r="I35" s="1">
        <v>22222</v>
      </c>
      <c r="J35" s="1">
        <v>3</v>
      </c>
      <c r="K35" s="1">
        <v>23888</v>
      </c>
      <c r="L35" s="1">
        <v>3</v>
      </c>
      <c r="M35" s="1">
        <v>19999</v>
      </c>
      <c r="N35" s="1">
        <v>3</v>
      </c>
      <c r="O35" s="1">
        <v>23000</v>
      </c>
      <c r="P35" s="1">
        <v>3</v>
      </c>
      <c r="Q35" s="1">
        <v>18888</v>
      </c>
      <c r="R35" s="1">
        <v>3</v>
      </c>
      <c r="S35" s="1">
        <v>18888</v>
      </c>
      <c r="T35" s="1">
        <v>3</v>
      </c>
      <c r="U35" s="1">
        <v>25000</v>
      </c>
      <c r="V35" s="1">
        <v>2</v>
      </c>
      <c r="W35" s="1">
        <v>23000</v>
      </c>
      <c r="X35" s="1">
        <v>2</v>
      </c>
    </row>
    <row r="36" spans="1:24">
      <c r="A36" s="2" t="s">
        <v>52</v>
      </c>
      <c r="B36" s="2" t="s">
        <v>38</v>
      </c>
      <c r="C36" s="1">
        <v>25000</v>
      </c>
      <c r="D36" s="1">
        <v>4</v>
      </c>
      <c r="E36" s="1">
        <v>25000</v>
      </c>
      <c r="F36" s="1">
        <v>4</v>
      </c>
      <c r="G36" s="3">
        <v>32500</v>
      </c>
      <c r="H36" s="3">
        <v>2</v>
      </c>
      <c r="I36" s="1">
        <v>32500</v>
      </c>
      <c r="J36" s="1">
        <v>3</v>
      </c>
      <c r="K36" s="1">
        <v>32500</v>
      </c>
      <c r="L36" s="1">
        <v>3</v>
      </c>
      <c r="M36" s="1">
        <v>32500</v>
      </c>
      <c r="N36" s="1">
        <v>3</v>
      </c>
      <c r="O36" s="1">
        <v>32500</v>
      </c>
      <c r="P36" s="1">
        <v>3</v>
      </c>
      <c r="Q36" s="1">
        <v>32500</v>
      </c>
      <c r="R36" s="1">
        <v>3</v>
      </c>
      <c r="S36" s="1">
        <v>32500</v>
      </c>
      <c r="T36" s="1">
        <v>3</v>
      </c>
      <c r="U36" s="1">
        <v>20000</v>
      </c>
      <c r="V36" s="1">
        <v>4</v>
      </c>
      <c r="W36" s="1">
        <v>32500</v>
      </c>
      <c r="X36" s="1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</vt:lpstr>
      <vt:lpstr>弹性</vt:lpstr>
      <vt:lpstr>价格数据库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华鑫慧Swift</cp:lastModifiedBy>
  <dcterms:created xsi:type="dcterms:W3CDTF">2023-05-12T11:15:00Z</dcterms:created>
  <dcterms:modified xsi:type="dcterms:W3CDTF">2026-03-15T13:22:14Z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777949DC42394434891B7E3628AC681B_12</vt:lpwstr>
  </property>
  <property fmtid="{D5CDD505-2E9C-101B-9397-08002B2CF9AE}" pid="4" name="CalculationRule">
    <vt:i4>0</vt:i4>
  </property>
</Properties>
</file>