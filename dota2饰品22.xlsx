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价格数据库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<sst xmlns="http://schemas.openxmlformats.org/spreadsheetml/2006/main" count="164" uniqueCount="79">
  <si>
    <t>英雄</t>
  </si>
  <si>
    <t>类型</t>
  </si>
  <si>
    <t>英文名</t>
  </si>
  <si>
    <t>部位</t>
  </si>
  <si>
    <t>价格</t>
  </si>
  <si>
    <t>数量</t>
  </si>
  <si>
    <t>斧王</t>
  </si>
  <si>
    <t>力量</t>
  </si>
  <si>
    <t>Axe</t>
  </si>
  <si>
    <t>武器</t>
  </si>
  <si>
    <t>小黑</t>
  </si>
  <si>
    <t>敏捷</t>
  </si>
  <si>
    <t>Drow Ranger</t>
  </si>
  <si>
    <t>CK</t>
  </si>
  <si>
    <t>Chaos Knight</t>
  </si>
  <si>
    <t>坐骑</t>
  </si>
  <si>
    <t>龙骑</t>
  </si>
  <si>
    <t>Dragon Knight</t>
  </si>
  <si>
    <t>大牛</t>
  </si>
  <si>
    <t>Elder Titan</t>
  </si>
  <si>
    <t>背部</t>
  </si>
  <si>
    <t>小牛</t>
  </si>
  <si>
    <t>Earthshaker</t>
  </si>
  <si>
    <t>屠夫</t>
  </si>
  <si>
    <t>Pudge</t>
  </si>
  <si>
    <t>面具</t>
  </si>
  <si>
    <t>斯温</t>
  </si>
  <si>
    <t>Sven</t>
  </si>
  <si>
    <t>小小</t>
  </si>
  <si>
    <t>Tiny</t>
  </si>
  <si>
    <t>海民</t>
  </si>
  <si>
    <t>Tusk</t>
  </si>
  <si>
    <t>副手</t>
  </si>
  <si>
    <t>尸王</t>
  </si>
  <si>
    <t>Undying</t>
  </si>
  <si>
    <t>召唤</t>
  </si>
  <si>
    <t>火猫</t>
  </si>
  <si>
    <t>Ember Spirit</t>
  </si>
  <si>
    <t>水人</t>
  </si>
  <si>
    <t>Morphling</t>
  </si>
  <si>
    <t>电棍</t>
  </si>
  <si>
    <t>Razor</t>
  </si>
  <si>
    <t>头</t>
  </si>
  <si>
    <t>小鱼</t>
  </si>
  <si>
    <t>Slark</t>
  </si>
  <si>
    <t>背</t>
  </si>
  <si>
    <t>拍拍</t>
  </si>
  <si>
    <t>Ursa</t>
  </si>
  <si>
    <t>冰女</t>
  </si>
  <si>
    <t>智力</t>
  </si>
  <si>
    <t>Crystal Maiden</t>
  </si>
  <si>
    <t>小鹿</t>
  </si>
  <si>
    <t>Enchantress</t>
  </si>
  <si>
    <t>火女</t>
  </si>
  <si>
    <t>Lina</t>
  </si>
  <si>
    <t>女王</t>
  </si>
  <si>
    <t>Queen of Pain</t>
  </si>
  <si>
    <t>衣服</t>
  </si>
  <si>
    <t>拉比克</t>
  </si>
  <si>
    <t>Rubick</t>
  </si>
  <si>
    <t>小Y</t>
  </si>
  <si>
    <t>Shadow Shaman</t>
  </si>
  <si>
    <t>天怒</t>
  </si>
  <si>
    <t>Skywrath Mage</t>
  </si>
  <si>
    <t>蓝猫</t>
  </si>
  <si>
    <t>Storm Spirit</t>
  </si>
  <si>
    <t>DK</t>
  </si>
  <si>
    <t>全才</t>
  </si>
  <si>
    <t>Abaddon</t>
  </si>
  <si>
    <t>酒仙</t>
  </si>
  <si>
    <t>Brewmaster</t>
  </si>
  <si>
    <t>谜团</t>
  </si>
  <si>
    <t>Enigma</t>
  </si>
  <si>
    <t>先知</t>
  </si>
  <si>
    <t>Nature's Prophet</t>
  </si>
  <si>
    <t>剧毒</t>
  </si>
  <si>
    <t>Venomancer</t>
  </si>
  <si>
    <t>潮汐</t>
  </si>
  <si>
    <t>Tidehunter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</si>
</sst>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6"/>
  <sheetViews>
    <sheetView tabSelected="1" workbookViewId="0">
      <selection activeCell="H12" sqref="H12"/>
    </sheetView>
  </sheetViews>
  <sheetFormatPr defaultColWidth="9" defaultRowHeight="13.5"/>
  <cols>
    <col min="1" max="2" width="9" style="1"/>
    <col min="3" max="4" width="19.3893805309735" style="1" customWidth="1"/>
    <col min="5" max="5" width="9" style="1"/>
    <col min="6" max="14" width="9.3716814159292" style="1"/>
    <col min="15" max="15" width="9" style="1"/>
    <col min="16" max="16" width="9.53097345132743" style="1"/>
    <col min="17" max="17" width="9" style="1"/>
    <col min="18" max="19" width="9.3716814159292" style="1"/>
    <col min="20" max="16384" width="9" style="1"/>
  </cols>
  <sheetData>
    <row r="1" spans="1:29">
      <c r="F1" s="1">
        <v>20260113</v>
      </c>
      <c r="G1" s="1">
        <v>20260113</v>
      </c>
      <c r="H1" s="1">
        <v>20260118</v>
      </c>
      <c r="I1" s="1">
        <v>20260118</v>
      </c>
      <c r="J1" s="1">
        <v>20260122</v>
      </c>
      <c r="K1" s="1">
        <v>20260122</v>
      </c>
      <c r="L1" s="1">
        <v>20260125</v>
      </c>
      <c r="M1" s="1">
        <v>20260125</v>
      </c>
      <c r="N1" s="1">
        <v>20260129</v>
      </c>
      <c r="O1" s="1">
        <v>20260129</v>
      </c>
      <c r="P1" s="1">
        <v>20260201</v>
      </c>
      <c r="Q1" s="1">
        <v>20260201</v>
      </c>
      <c r="R1" s="1">
        <v>20260204</v>
      </c>
      <c r="S1" s="1">
        <v>20260204</v>
      </c>
    </row>
    <row r="2" spans="1:29">
      <c r="A2" s="2" t="s">
        <v>0</v>
      </c>
      <c r="B2" s="2" t="s">
        <v>1</v>
      </c>
      <c r="C2" s="2"/>
      <c r="D2" s="2" t="s">
        <v>2</v>
      </c>
      <c r="E2" s="2" t="s">
        <v>3</v>
      </c>
      <c r="F2" s="1" t="s">
        <v>4</v>
      </c>
      <c r="G2" s="1" t="s">
        <v>5</v>
      </c>
      <c r="H2" s="1" t="s">
        <v>4</v>
      </c>
      <c r="I2" s="1" t="s">
        <v>5</v>
      </c>
      <c r="J2" s="1" t="s">
        <v>4</v>
      </c>
      <c r="K2" s="1" t="s">
        <v>5</v>
      </c>
      <c r="L2" s="1" t="s">
        <v>4</v>
      </c>
      <c r="M2" s="1" t="s">
        <v>5</v>
      </c>
      <c r="N2" s="1" t="s">
        <v>4</v>
      </c>
      <c r="O2" s="1" t="s">
        <v>5</v>
      </c>
      <c r="P2" s="1" t="s">
        <v>4</v>
      </c>
      <c r="Q2" s="1" t="s">
        <v>5</v>
      </c>
      <c r="R2" s="1" t="s">
        <v>4</v>
      </c>
      <c r="S2" s="1" t="s">
        <v>5</v>
      </c>
      <c r="T2" s="1" t="s">
        <v>4</v>
      </c>
      <c r="U2" s="1" t="s">
        <v>5</v>
      </c>
      <c r="V2" s="1" t="s">
        <v>4</v>
      </c>
      <c r="W2" s="1" t="s">
        <v>5</v>
      </c>
      <c r="X2" s="1" t="s">
        <v>4</v>
      </c>
      <c r="Y2" s="1" t="s">
        <v>5</v>
      </c>
      <c r="Z2" s="1" t="s">
        <v>4</v>
      </c>
      <c r="AA2" s="1" t="s">
        <v>5</v>
      </c>
      <c r="AB2" s="1" t="s">
        <v>4</v>
      </c>
      <c r="AC2" s="1" t="s">
        <v>5</v>
      </c>
    </row>
    <row r="3" spans="1:29">
      <c r="A3" s="2" t="s">
        <v>6</v>
      </c>
      <c r="B3" s="2" t="s">
        <v>7</v>
      </c>
      <c r="C3" s="2" t="str" cm="1">
        <f t="array" ref="C3">_xlfn.SWITCH(B3,"力量","Strength","敏捷","Agility","智力","Intelligence","全才","Universal")</f>
        <v>Strength</v>
      </c>
      <c r="D3" s="2" t="s">
        <v>8</v>
      </c>
      <c r="E3" s="2" t="s">
        <v>9</v>
      </c>
      <c r="F3" s="1">
        <v>1833</v>
      </c>
      <c r="G3" s="1">
        <v>43</v>
      </c>
      <c r="H3" s="1">
        <v>1788</v>
      </c>
      <c r="I3" s="1">
        <v>43</v>
      </c>
      <c r="J3" s="1">
        <v>1947</v>
      </c>
      <c r="K3" s="1">
        <v>41</v>
      </c>
      <c r="L3" s="1">
        <v>1898</v>
      </c>
      <c r="M3" s="1">
        <v>40</v>
      </c>
      <c r="N3" s="1">
        <v>1870</v>
      </c>
      <c r="O3" s="1">
        <v>40</v>
      </c>
      <c r="P3" s="1">
        <v>1899</v>
      </c>
      <c r="Q3" s="1">
        <v>41</v>
      </c>
      <c r="R3" s="1">
        <v>1859</v>
      </c>
      <c r="S3" s="1">
        <v>38</v>
      </c>
    </row>
    <row r="4" spans="1:29">
      <c r="A4" s="2" t="s">
        <v>10</v>
      </c>
      <c r="B4" s="2" t="s">
        <v>11</v>
      </c>
      <c r="C4" s="2" t="str" cm="1">
        <f t="array" ref="C4">_xlfn.SWITCH(B4,"力量","Strength","敏捷","Agility","智力","Intelligence","全才","Universal")</f>
        <v>Agility</v>
      </c>
      <c r="D4" s="2" t="s">
        <v>12</v>
      </c>
      <c r="E4" s="2" t="s">
        <v>9</v>
      </c>
      <c r="F4" s="1">
        <v>2139</v>
      </c>
      <c r="G4" s="1">
        <v>31</v>
      </c>
      <c r="H4" s="1">
        <v>2009</v>
      </c>
      <c r="I4" s="1">
        <v>30</v>
      </c>
      <c r="J4" s="1">
        <v>1999</v>
      </c>
      <c r="K4" s="1">
        <v>31</v>
      </c>
      <c r="L4" s="1">
        <v>1950</v>
      </c>
      <c r="M4" s="1">
        <v>32</v>
      </c>
      <c r="N4" s="1">
        <v>2050</v>
      </c>
      <c r="O4" s="1">
        <v>27</v>
      </c>
      <c r="P4" s="1">
        <v>2050</v>
      </c>
      <c r="Q4" s="1">
        <v>28</v>
      </c>
      <c r="R4" s="1">
        <v>1960</v>
      </c>
      <c r="S4" s="1">
        <v>33</v>
      </c>
    </row>
    <row r="5" spans="1:29">
      <c r="A5" s="2" t="s">
        <v>13</v>
      </c>
      <c r="B5" s="2" t="s">
        <v>7</v>
      </c>
      <c r="C5" s="2" t="str" cm="1">
        <f t="array" ref="C5">_xlfn.SWITCH(B5,"力量","Strength","敏捷","Agility","智力","Intelligence","全才","Universal")</f>
        <v>Strength</v>
      </c>
      <c r="D5" s="2" t="s">
        <v>14</v>
      </c>
      <c r="E5" s="2" t="s">
        <v>15</v>
      </c>
      <c r="F5" s="1">
        <v>1443</v>
      </c>
      <c r="G5" s="1">
        <v>45</v>
      </c>
      <c r="H5" s="1">
        <v>1445</v>
      </c>
      <c r="I5" s="1">
        <v>48</v>
      </c>
      <c r="J5" s="1">
        <v>1435</v>
      </c>
      <c r="K5" s="1">
        <v>46</v>
      </c>
      <c r="L5" s="1">
        <v>1434</v>
      </c>
      <c r="M5" s="1">
        <v>48</v>
      </c>
      <c r="N5" s="1">
        <v>1450</v>
      </c>
      <c r="O5" s="1">
        <v>46</v>
      </c>
      <c r="P5" s="1">
        <v>1500</v>
      </c>
      <c r="Q5" s="1">
        <v>46</v>
      </c>
      <c r="R5" s="1">
        <v>1400</v>
      </c>
      <c r="S5" s="1">
        <v>52</v>
      </c>
    </row>
    <row r="6" spans="1:29">
      <c r="A6" s="2" t="s">
        <v>16</v>
      </c>
      <c r="B6" s="2" t="s">
        <v>7</v>
      </c>
      <c r="C6" s="2" t="str" cm="1">
        <f t="array" ref="C6">_xlfn.SWITCH(B6,"力量","Strength","敏捷","Agility","智力","Intelligence","全才","Universal")</f>
        <v>Strength</v>
      </c>
      <c r="D6" s="2" t="s">
        <v>17</v>
      </c>
      <c r="E6" s="2" t="s">
        <v>9</v>
      </c>
      <c r="F6" s="1">
        <v>1900</v>
      </c>
      <c r="G6" s="1">
        <v>33</v>
      </c>
      <c r="H6" s="1">
        <v>1799</v>
      </c>
      <c r="I6" s="1">
        <v>38</v>
      </c>
      <c r="J6" s="1">
        <v>1950</v>
      </c>
      <c r="K6" s="1">
        <v>32</v>
      </c>
      <c r="L6" s="1">
        <v>1900</v>
      </c>
      <c r="M6" s="1">
        <v>39</v>
      </c>
      <c r="N6" s="1">
        <v>1996</v>
      </c>
      <c r="O6" s="1">
        <v>33</v>
      </c>
      <c r="P6" s="1">
        <v>1946</v>
      </c>
      <c r="Q6" s="1">
        <v>35</v>
      </c>
      <c r="R6" s="1">
        <v>1888</v>
      </c>
      <c r="S6" s="1">
        <v>36</v>
      </c>
    </row>
    <row r="7" spans="1:29">
      <c r="A7" s="2" t="s">
        <v>18</v>
      </c>
      <c r="B7" s="2" t="s">
        <v>7</v>
      </c>
      <c r="C7" s="2" t="str" cm="1">
        <f t="array" ref="C7">_xlfn.SWITCH(B7,"力量","Strength","敏捷","Agility","智力","Intelligence","全才","Universal")</f>
        <v>Strength</v>
      </c>
      <c r="D7" s="2" t="s">
        <v>19</v>
      </c>
      <c r="E7" s="2" t="s">
        <v>20</v>
      </c>
      <c r="F7" s="1">
        <v>18888</v>
      </c>
      <c r="G7" s="1">
        <v>2</v>
      </c>
      <c r="H7" s="1">
        <v>18888</v>
      </c>
      <c r="I7" s="1">
        <v>2</v>
      </c>
      <c r="J7" s="1">
        <v>18888</v>
      </c>
      <c r="K7" s="1">
        <v>2</v>
      </c>
      <c r="L7" s="1">
        <v>18888</v>
      </c>
      <c r="M7" s="1">
        <v>2</v>
      </c>
      <c r="N7" s="1">
        <v>18888</v>
      </c>
      <c r="O7" s="1">
        <v>2</v>
      </c>
      <c r="P7" s="1">
        <v>18888</v>
      </c>
      <c r="Q7" s="1">
        <v>2</v>
      </c>
      <c r="R7" s="1">
        <v>18888</v>
      </c>
      <c r="S7" s="1">
        <v>2</v>
      </c>
    </row>
    <row r="8" spans="1:29">
      <c r="A8" s="2" t="s">
        <v>21</v>
      </c>
      <c r="B8" s="2" t="s">
        <v>7</v>
      </c>
      <c r="C8" s="2" t="str" cm="1">
        <f t="array" ref="C8">_xlfn.SWITCH(B8,"力量","Strength","敏捷","Agility","智力","Intelligence","全才","Universal")</f>
        <v>Strength</v>
      </c>
      <c r="D8" s="2" t="s">
        <v>22</v>
      </c>
      <c r="E8" s="2" t="s">
        <v>9</v>
      </c>
      <c r="F8" s="1">
        <v>20499</v>
      </c>
      <c r="G8" s="1">
        <v>5</v>
      </c>
      <c r="H8" s="1">
        <v>20500</v>
      </c>
      <c r="I8" s="1">
        <v>4</v>
      </c>
      <c r="J8" s="3">
        <v>20500</v>
      </c>
      <c r="K8" s="3">
        <v>4</v>
      </c>
      <c r="L8" s="1">
        <v>20500</v>
      </c>
      <c r="M8" s="1">
        <v>4</v>
      </c>
      <c r="N8" s="1">
        <v>20500</v>
      </c>
      <c r="O8" s="1">
        <v>3</v>
      </c>
      <c r="P8" s="1">
        <v>18500</v>
      </c>
      <c r="Q8" s="1">
        <v>4</v>
      </c>
      <c r="R8" s="1">
        <v>18000</v>
      </c>
      <c r="S8" s="1">
        <v>5</v>
      </c>
    </row>
    <row r="9" spans="1:29">
      <c r="A9" s="2" t="s">
        <v>23</v>
      </c>
      <c r="B9" s="2" t="s">
        <v>7</v>
      </c>
      <c r="C9" s="2" t="str" cm="1">
        <f t="array" ref="C9">_xlfn.SWITCH(B9,"力量","Strength","敏捷","Agility","智力","Intelligence","全才","Universal")</f>
        <v>Strength</v>
      </c>
      <c r="D9" s="2" t="s">
        <v>24</v>
      </c>
      <c r="E9" s="2" t="s">
        <v>25</v>
      </c>
      <c r="F9" s="3">
        <v>23888</v>
      </c>
      <c r="G9" s="3">
        <v>7</v>
      </c>
      <c r="H9" s="3">
        <v>19999</v>
      </c>
      <c r="I9" s="3">
        <v>9</v>
      </c>
      <c r="J9" s="3">
        <v>21000</v>
      </c>
      <c r="K9" s="3">
        <v>9</v>
      </c>
      <c r="L9" s="1">
        <v>21000</v>
      </c>
      <c r="M9" s="1">
        <v>9</v>
      </c>
      <c r="N9" s="1">
        <v>21000</v>
      </c>
      <c r="O9" s="1">
        <v>9</v>
      </c>
      <c r="P9" s="1">
        <v>19999</v>
      </c>
      <c r="Q9" s="1">
        <v>7</v>
      </c>
      <c r="R9" s="1">
        <v>19999</v>
      </c>
      <c r="S9" s="1">
        <v>8</v>
      </c>
    </row>
    <row r="10" spans="1:29">
      <c r="A10" s="2" t="s">
        <v>26</v>
      </c>
      <c r="B10" s="2" t="s">
        <v>7</v>
      </c>
      <c r="C10" s="2" t="str" cm="1">
        <f t="array" ref="C10">_xlfn.SWITCH(B10,"力量","Strength","敏捷","Agility","智力","Intelligence","全才","Universal")</f>
        <v>Strength</v>
      </c>
      <c r="D10" s="2" t="s">
        <v>27</v>
      </c>
      <c r="E10" s="2" t="s">
        <v>9</v>
      </c>
      <c r="F10" s="3">
        <v>50000</v>
      </c>
      <c r="G10" s="3">
        <v>1</v>
      </c>
      <c r="H10" s="3">
        <v>50000</v>
      </c>
      <c r="I10" s="3">
        <v>1</v>
      </c>
      <c r="J10" s="3">
        <v>50000</v>
      </c>
      <c r="K10" s="3">
        <v>1</v>
      </c>
      <c r="L10" s="1">
        <v>50000</v>
      </c>
      <c r="M10" s="1">
        <v>1</v>
      </c>
      <c r="N10" s="1">
        <v>50000</v>
      </c>
      <c r="O10" s="1">
        <v>1</v>
      </c>
      <c r="P10" s="1">
        <v>50000</v>
      </c>
      <c r="Q10" s="1">
        <v>1</v>
      </c>
      <c r="R10" s="1">
        <v>50000</v>
      </c>
      <c r="S10" s="1">
        <v>1</v>
      </c>
    </row>
    <row r="11" spans="1:29">
      <c r="A11" s="2" t="s">
        <v>28</v>
      </c>
      <c r="B11" s="2" t="s">
        <v>7</v>
      </c>
      <c r="C11" s="2" t="str" cm="1">
        <f t="array" ref="C11">_xlfn.SWITCH(B11,"力量","Strength","敏捷","Agility","智力","Intelligence","全才","Universal")</f>
        <v>Strength</v>
      </c>
      <c r="D11" s="2" t="s">
        <v>29</v>
      </c>
      <c r="E11" s="2" t="s">
        <v>9</v>
      </c>
      <c r="F11" s="3">
        <v>18888</v>
      </c>
      <c r="G11" s="3">
        <v>5</v>
      </c>
      <c r="H11" s="3">
        <v>16658</v>
      </c>
      <c r="I11" s="3">
        <v>7</v>
      </c>
      <c r="J11" s="3">
        <v>15500</v>
      </c>
      <c r="K11" s="3">
        <v>10</v>
      </c>
      <c r="L11" s="1">
        <v>15500</v>
      </c>
      <c r="M11" s="1">
        <v>9</v>
      </c>
      <c r="N11" s="1">
        <v>15999</v>
      </c>
      <c r="O11" s="1">
        <v>8</v>
      </c>
      <c r="P11" s="1">
        <v>15996</v>
      </c>
      <c r="Q11" s="1">
        <v>8</v>
      </c>
      <c r="R11" s="1">
        <v>15000</v>
      </c>
      <c r="S11" s="1">
        <v>9</v>
      </c>
    </row>
    <row r="12" spans="1:29">
      <c r="A12" s="2" t="s">
        <v>30</v>
      </c>
      <c r="B12" s="2" t="s">
        <v>7</v>
      </c>
      <c r="C12" s="2" t="str" cm="1">
        <f t="array" ref="C12">_xlfn.SWITCH(B12,"力量","Strength","敏捷","Agility","智力","Intelligence","全才","Universal")</f>
        <v>Strength</v>
      </c>
      <c r="D12" s="2" t="s">
        <v>31</v>
      </c>
      <c r="E12" s="2" t="s">
        <v>32</v>
      </c>
      <c r="F12" s="3">
        <v>1984</v>
      </c>
      <c r="G12" s="3">
        <v>30</v>
      </c>
      <c r="H12" s="3">
        <v>1995</v>
      </c>
      <c r="I12" s="3">
        <v>31</v>
      </c>
      <c r="J12" s="3">
        <v>2098</v>
      </c>
      <c r="K12" s="3">
        <v>26</v>
      </c>
      <c r="L12" s="1">
        <v>2200</v>
      </c>
      <c r="M12" s="1">
        <v>29</v>
      </c>
      <c r="N12" s="1">
        <v>2200</v>
      </c>
      <c r="O12" s="1">
        <v>28</v>
      </c>
      <c r="P12" s="1">
        <v>2198</v>
      </c>
      <c r="Q12" s="1">
        <v>24</v>
      </c>
      <c r="R12" s="1">
        <v>2090</v>
      </c>
      <c r="S12" s="1">
        <v>31</v>
      </c>
    </row>
    <row r="13" spans="1:29">
      <c r="A13" s="2" t="s">
        <v>33</v>
      </c>
      <c r="B13" s="2" t="s">
        <v>7</v>
      </c>
      <c r="C13" s="2" t="str" cm="1">
        <f t="array" ref="C13">_xlfn.SWITCH(B13,"力量","Strength","敏捷","Agility","智力","Intelligence","全才","Universal")</f>
        <v>Strength</v>
      </c>
      <c r="D13" s="2" t="s">
        <v>34</v>
      </c>
      <c r="E13" s="2" t="s">
        <v>35</v>
      </c>
      <c r="F13" s="3">
        <v>4998</v>
      </c>
      <c r="G13" s="3">
        <v>9</v>
      </c>
      <c r="H13" s="3">
        <v>4998</v>
      </c>
      <c r="I13" s="3">
        <v>11</v>
      </c>
      <c r="J13" s="3">
        <v>5299</v>
      </c>
      <c r="K13" s="3">
        <v>8</v>
      </c>
      <c r="L13" s="1">
        <v>5299</v>
      </c>
      <c r="M13" s="1">
        <v>9</v>
      </c>
      <c r="N13" s="1">
        <v>5500</v>
      </c>
      <c r="O13" s="1">
        <v>9</v>
      </c>
      <c r="P13" s="1">
        <v>5499</v>
      </c>
      <c r="Q13" s="1">
        <v>11</v>
      </c>
      <c r="R13" s="1">
        <v>5499</v>
      </c>
      <c r="S13" s="1">
        <v>12</v>
      </c>
    </row>
    <row r="14" spans="1:29">
      <c r="A14" s="2" t="s">
        <v>36</v>
      </c>
      <c r="B14" s="2" t="s">
        <v>11</v>
      </c>
      <c r="C14" s="2" t="str" cm="1">
        <f t="array" ref="C14">_xlfn.SWITCH(B14,"力量","Strength","敏捷","Agility","智力","Intelligence","全才","Universal")</f>
        <v>Agility</v>
      </c>
      <c r="D14" s="2" t="s">
        <v>37</v>
      </c>
      <c r="E14" s="2" t="s">
        <v>9</v>
      </c>
      <c r="F14" s="3">
        <v>21000</v>
      </c>
      <c r="G14" s="3">
        <v>2</v>
      </c>
      <c r="H14" s="3">
        <v>21000</v>
      </c>
      <c r="I14" s="3">
        <v>2</v>
      </c>
      <c r="J14" s="3">
        <v>22222</v>
      </c>
      <c r="K14" s="3">
        <v>1</v>
      </c>
      <c r="L14" s="1">
        <v>20000</v>
      </c>
      <c r="M14" s="1">
        <v>2</v>
      </c>
      <c r="N14" s="1">
        <v>20000</v>
      </c>
      <c r="O14" s="1">
        <v>2</v>
      </c>
      <c r="P14" s="1">
        <v>19000</v>
      </c>
      <c r="Q14" s="1">
        <v>3</v>
      </c>
      <c r="R14" s="1">
        <v>19000</v>
      </c>
      <c r="S14" s="1">
        <v>3</v>
      </c>
    </row>
    <row r="15" spans="1:29">
      <c r="A15" s="2" t="s">
        <v>38</v>
      </c>
      <c r="B15" s="2" t="s">
        <v>11</v>
      </c>
      <c r="C15" s="2" t="str" cm="1">
        <f t="array" ref="C15">_xlfn.SWITCH(B15,"力量","Strength","敏捷","Agility","智力","Intelligence","全才","Universal")</f>
        <v>Agility</v>
      </c>
      <c r="D15" s="2" t="s">
        <v>39</v>
      </c>
      <c r="E15" s="2" t="s">
        <v>9</v>
      </c>
      <c r="F15" s="3">
        <v>54888</v>
      </c>
      <c r="G15" s="3">
        <v>3</v>
      </c>
      <c r="H15" s="3">
        <v>55555</v>
      </c>
      <c r="I15" s="3">
        <v>3</v>
      </c>
      <c r="J15" s="3">
        <v>53500</v>
      </c>
      <c r="K15" s="3">
        <v>5</v>
      </c>
      <c r="L15" s="1">
        <v>53500</v>
      </c>
      <c r="M15" s="1">
        <v>4</v>
      </c>
      <c r="N15" s="1">
        <v>50999</v>
      </c>
      <c r="O15" s="1">
        <v>5</v>
      </c>
      <c r="P15" s="1">
        <v>50885</v>
      </c>
      <c r="Q15" s="1">
        <v>6</v>
      </c>
      <c r="R15" s="1">
        <v>50500</v>
      </c>
      <c r="S15" s="1">
        <v>6</v>
      </c>
    </row>
    <row r="16" spans="1:29">
      <c r="A16" s="2" t="s">
        <v>40</v>
      </c>
      <c r="B16" s="2" t="s">
        <v>11</v>
      </c>
      <c r="C16" s="2" t="str" cm="1">
        <f t="array" ref="C16">_xlfn.SWITCH(B16,"力量","Strength","敏捷","Agility","智力","Intelligence","全才","Universal")</f>
        <v>Agility</v>
      </c>
      <c r="D16" s="2" t="s">
        <v>41</v>
      </c>
      <c r="E16" s="2" t="s">
        <v>42</v>
      </c>
      <c r="F16" s="3">
        <v>4500</v>
      </c>
      <c r="G16" s="3">
        <v>20</v>
      </c>
      <c r="H16" s="3">
        <v>3997</v>
      </c>
      <c r="I16" s="3">
        <v>20</v>
      </c>
      <c r="J16" s="3">
        <v>4288</v>
      </c>
      <c r="K16" s="3">
        <v>18</v>
      </c>
      <c r="L16" s="1">
        <v>4230</v>
      </c>
      <c r="M16" s="1">
        <v>20</v>
      </c>
      <c r="N16" s="1">
        <v>4998</v>
      </c>
      <c r="O16" s="1">
        <v>12</v>
      </c>
      <c r="P16" s="1">
        <v>5998</v>
      </c>
      <c r="Q16" s="1">
        <v>14</v>
      </c>
      <c r="R16" s="1">
        <v>5800</v>
      </c>
      <c r="S16" s="1">
        <v>15</v>
      </c>
    </row>
    <row r="17" spans="1:19">
      <c r="A17" s="2" t="s">
        <v>43</v>
      </c>
      <c r="B17" s="2" t="s">
        <v>11</v>
      </c>
      <c r="C17" s="2" t="str" cm="1">
        <f t="array" ref="C17">_xlfn.SWITCH(B17,"力量","Strength","敏捷","Agility","智力","Intelligence","全才","Universal")</f>
        <v>Agility</v>
      </c>
      <c r="D17" s="2" t="s">
        <v>44</v>
      </c>
      <c r="E17" s="2" t="s">
        <v>9</v>
      </c>
      <c r="F17" s="3">
        <v>15200</v>
      </c>
      <c r="G17" s="3">
        <v>8</v>
      </c>
      <c r="H17" s="3">
        <v>20000</v>
      </c>
      <c r="I17" s="3">
        <v>4</v>
      </c>
      <c r="J17" s="3">
        <v>18999</v>
      </c>
      <c r="K17" s="3">
        <v>5</v>
      </c>
      <c r="L17" s="1">
        <v>20000</v>
      </c>
      <c r="M17" s="1">
        <v>4</v>
      </c>
      <c r="N17" s="1">
        <v>24000</v>
      </c>
      <c r="O17" s="1">
        <v>4</v>
      </c>
      <c r="P17" s="1">
        <v>24000</v>
      </c>
      <c r="Q17" s="1">
        <v>3</v>
      </c>
      <c r="R17" s="1">
        <v>24000</v>
      </c>
      <c r="S17" s="1">
        <v>3</v>
      </c>
    </row>
    <row r="18" spans="1:19">
      <c r="A18" s="2" t="s">
        <v>43</v>
      </c>
      <c r="B18" s="2" t="s">
        <v>11</v>
      </c>
      <c r="C18" s="2" t="str" cm="1">
        <f t="array" ref="C18">_xlfn.SWITCH(B18,"力量","Strength","敏捷","Agility","智力","Intelligence","全才","Universal")</f>
        <v>Agility</v>
      </c>
      <c r="D18" s="2" t="s">
        <v>44</v>
      </c>
      <c r="E18" s="2" t="s">
        <v>45</v>
      </c>
      <c r="F18" s="3">
        <v>18888</v>
      </c>
      <c r="G18" s="3">
        <v>5</v>
      </c>
      <c r="H18" s="3">
        <v>19994</v>
      </c>
      <c r="I18" s="3">
        <v>7</v>
      </c>
      <c r="J18" s="3">
        <v>16555</v>
      </c>
      <c r="K18" s="3">
        <v>9</v>
      </c>
      <c r="L18" s="1">
        <v>18885</v>
      </c>
      <c r="M18" s="1">
        <v>8</v>
      </c>
      <c r="N18" s="1">
        <v>17000</v>
      </c>
      <c r="O18" s="1">
        <v>8</v>
      </c>
      <c r="P18" s="1">
        <v>16500</v>
      </c>
      <c r="Q18" s="1">
        <v>8</v>
      </c>
      <c r="R18" s="1">
        <v>15888</v>
      </c>
      <c r="S18" s="1">
        <v>7</v>
      </c>
    </row>
    <row r="19" spans="1:19">
      <c r="A19" s="2" t="s">
        <v>46</v>
      </c>
      <c r="B19" s="2" t="s">
        <v>11</v>
      </c>
      <c r="C19" s="2" t="str" cm="1">
        <f t="array" ref="C19">_xlfn.SWITCH(B19,"力量","Strength","敏捷","Agility","智力","Intelligence","全才","Universal")</f>
        <v>Agility</v>
      </c>
      <c r="D19" s="2" t="s">
        <v>47</v>
      </c>
      <c r="E19" s="2" t="s">
        <v>9</v>
      </c>
      <c r="F19" s="3">
        <v>65000</v>
      </c>
      <c r="G19" s="3">
        <v>2</v>
      </c>
      <c r="H19" s="3">
        <v>65000</v>
      </c>
      <c r="I19" s="3">
        <v>2</v>
      </c>
      <c r="J19" s="3">
        <v>65000</v>
      </c>
      <c r="K19" s="3">
        <v>2</v>
      </c>
      <c r="L19" s="1">
        <v>65000</v>
      </c>
      <c r="M19" s="1">
        <v>2</v>
      </c>
      <c r="N19" s="1">
        <v>65000</v>
      </c>
      <c r="O19" s="1">
        <v>2</v>
      </c>
      <c r="P19" s="1">
        <v>65000</v>
      </c>
      <c r="Q19" s="1">
        <v>2</v>
      </c>
      <c r="R19" s="1">
        <v>65000</v>
      </c>
      <c r="S19" s="1">
        <v>2</v>
      </c>
    </row>
    <row r="20" spans="1:19">
      <c r="A20" s="2" t="s">
        <v>48</v>
      </c>
      <c r="B20" s="2" t="s">
        <v>49</v>
      </c>
      <c r="C20" s="2" t="str" cm="1">
        <f t="array" ref="C20">_xlfn.SWITCH(B20,"力量","Strength","敏捷","Agility","智力","Intelligence","全才","Universal")</f>
        <v>Intelligence</v>
      </c>
      <c r="D20" s="2" t="s">
        <v>50</v>
      </c>
      <c r="E20" s="2" t="s">
        <v>9</v>
      </c>
      <c r="F20" s="3">
        <v>10000</v>
      </c>
      <c r="G20" s="3">
        <v>6</v>
      </c>
      <c r="H20" s="3">
        <v>9999</v>
      </c>
      <c r="I20" s="3">
        <v>8</v>
      </c>
      <c r="J20" s="3">
        <v>9999</v>
      </c>
      <c r="K20" s="3">
        <v>7</v>
      </c>
      <c r="L20" s="1">
        <v>9999</v>
      </c>
      <c r="M20" s="1">
        <v>7</v>
      </c>
      <c r="N20" s="1">
        <v>9999</v>
      </c>
      <c r="O20" s="1">
        <v>5</v>
      </c>
      <c r="P20" s="1">
        <v>9000</v>
      </c>
      <c r="Q20" s="1">
        <v>6</v>
      </c>
      <c r="R20" s="1">
        <v>8999</v>
      </c>
      <c r="S20" s="1">
        <v>5</v>
      </c>
    </row>
    <row r="21" spans="1:19">
      <c r="A21" s="2" t="s">
        <v>51</v>
      </c>
      <c r="B21" s="2" t="s">
        <v>49</v>
      </c>
      <c r="C21" s="2" t="str" cm="1">
        <f t="array" ref="C21">_xlfn.SWITCH(B21,"力量","Strength","敏捷","Agility","智力","Intelligence","全才","Universal")</f>
        <v>Intelligence</v>
      </c>
      <c r="D21" s="2" t="s">
        <v>52</v>
      </c>
      <c r="E21" s="2" t="s">
        <v>42</v>
      </c>
      <c r="F21" s="3">
        <v>29000</v>
      </c>
      <c r="G21" s="3">
        <v>4</v>
      </c>
      <c r="H21" s="3">
        <v>29000</v>
      </c>
      <c r="I21" s="3">
        <v>4</v>
      </c>
      <c r="J21" s="3">
        <v>29000</v>
      </c>
      <c r="K21" s="3">
        <v>4</v>
      </c>
      <c r="L21" s="1">
        <v>29000</v>
      </c>
      <c r="M21" s="1">
        <v>4</v>
      </c>
      <c r="N21" s="1">
        <v>29000</v>
      </c>
      <c r="O21" s="1">
        <v>3</v>
      </c>
      <c r="P21" s="1">
        <v>29000</v>
      </c>
      <c r="Q21" s="1">
        <v>2</v>
      </c>
      <c r="R21" s="1">
        <v>29000</v>
      </c>
      <c r="S21" s="1">
        <v>2</v>
      </c>
    </row>
    <row r="22" spans="1:19">
      <c r="A22" s="2" t="s">
        <v>53</v>
      </c>
      <c r="B22" s="2" t="s">
        <v>49</v>
      </c>
      <c r="C22" s="2" t="str" cm="1">
        <f t="array" ref="C22">_xlfn.SWITCH(B22,"力量","Strength","敏捷","Agility","智力","Intelligence","全才","Universal")</f>
        <v>Intelligence</v>
      </c>
      <c r="D22" s="2" t="s">
        <v>54</v>
      </c>
      <c r="E22" s="2" t="s">
        <v>42</v>
      </c>
      <c r="F22" s="3">
        <v>1500</v>
      </c>
      <c r="G22" s="3">
        <v>46</v>
      </c>
      <c r="H22" s="3">
        <v>1511</v>
      </c>
      <c r="I22" s="3">
        <v>52</v>
      </c>
      <c r="J22" s="3">
        <v>1499</v>
      </c>
      <c r="K22" s="3">
        <v>49</v>
      </c>
      <c r="L22" s="1">
        <v>1489</v>
      </c>
      <c r="M22" s="1">
        <v>51</v>
      </c>
      <c r="N22" s="1">
        <v>1560</v>
      </c>
      <c r="O22" s="1">
        <v>43</v>
      </c>
      <c r="P22" s="1">
        <v>1600</v>
      </c>
      <c r="Q22" s="1">
        <v>43</v>
      </c>
      <c r="R22" s="1">
        <v>1566</v>
      </c>
      <c r="S22" s="1">
        <v>50</v>
      </c>
    </row>
    <row r="23" spans="1:19">
      <c r="A23" s="2" t="s">
        <v>55</v>
      </c>
      <c r="B23" s="2" t="s">
        <v>49</v>
      </c>
      <c r="C23" s="2" t="str" cm="1">
        <f t="array" ref="C23">_xlfn.SWITCH(B23,"力量","Strength","敏捷","Agility","智力","Intelligence","全才","Universal")</f>
        <v>Intelligence</v>
      </c>
      <c r="D23" s="2" t="s">
        <v>56</v>
      </c>
      <c r="E23" s="2" t="s">
        <v>42</v>
      </c>
      <c r="F23" s="3">
        <v>19400</v>
      </c>
      <c r="G23" s="3">
        <v>7</v>
      </c>
      <c r="H23" s="3">
        <v>21000</v>
      </c>
      <c r="I23" s="3">
        <v>6</v>
      </c>
      <c r="J23" s="3">
        <v>20777</v>
      </c>
      <c r="K23" s="3">
        <v>6</v>
      </c>
      <c r="L23" s="1">
        <v>21666</v>
      </c>
      <c r="M23" s="1">
        <v>6</v>
      </c>
      <c r="N23" s="1">
        <v>17388</v>
      </c>
      <c r="O23" s="1">
        <v>6</v>
      </c>
      <c r="P23" s="1">
        <v>21500</v>
      </c>
      <c r="Q23" s="1">
        <v>7</v>
      </c>
      <c r="R23" s="1">
        <v>21500</v>
      </c>
      <c r="S23" s="1">
        <v>7</v>
      </c>
    </row>
    <row r="24" spans="1:19">
      <c r="A24" s="2" t="s">
        <v>55</v>
      </c>
      <c r="B24" s="2" t="s">
        <v>49</v>
      </c>
      <c r="C24" s="2" t="str" cm="1">
        <f t="array" ref="C24">_xlfn.SWITCH(B24,"力量","Strength","敏捷","Agility","智力","Intelligence","全才","Universal")</f>
        <v>Intelligence</v>
      </c>
      <c r="D24" s="2" t="s">
        <v>56</v>
      </c>
      <c r="E24" s="2" t="s">
        <v>57</v>
      </c>
      <c r="F24" s="3">
        <v>18500</v>
      </c>
      <c r="G24" s="3">
        <v>5</v>
      </c>
      <c r="H24" s="3">
        <v>18500</v>
      </c>
      <c r="I24" s="3">
        <v>5</v>
      </c>
      <c r="J24" s="3">
        <v>17500</v>
      </c>
      <c r="K24" s="3">
        <v>7</v>
      </c>
      <c r="L24" s="1">
        <v>17000</v>
      </c>
      <c r="M24" s="1">
        <v>7</v>
      </c>
      <c r="N24" s="1">
        <v>21500</v>
      </c>
      <c r="O24" s="1">
        <v>7</v>
      </c>
      <c r="P24" s="1">
        <v>17400</v>
      </c>
      <c r="Q24" s="1">
        <v>7</v>
      </c>
      <c r="R24" s="1">
        <v>17399</v>
      </c>
      <c r="S24" s="1">
        <v>7</v>
      </c>
    </row>
    <row r="25" spans="1:19">
      <c r="A25" s="2" t="s">
        <v>58</v>
      </c>
      <c r="B25" s="2" t="s">
        <v>49</v>
      </c>
      <c r="C25" s="2" t="str" cm="1">
        <f t="array" ref="C25">_xlfn.SWITCH(B25,"力量","Strength","敏捷","Agility","智力","Intelligence","全才","Universal")</f>
        <v>Intelligence</v>
      </c>
      <c r="D25" s="2" t="s">
        <v>59</v>
      </c>
      <c r="E25" s="2" t="s">
        <v>9</v>
      </c>
      <c r="F25" s="3">
        <v>24000</v>
      </c>
      <c r="G25" s="3">
        <v>2</v>
      </c>
      <c r="H25" s="3">
        <v>24000</v>
      </c>
      <c r="I25" s="3">
        <v>3</v>
      </c>
      <c r="J25" s="3">
        <v>24000</v>
      </c>
      <c r="K25" s="3">
        <v>3</v>
      </c>
      <c r="L25" s="1">
        <v>24000</v>
      </c>
      <c r="M25" s="1">
        <v>3</v>
      </c>
      <c r="N25" s="1">
        <v>24000</v>
      </c>
      <c r="O25" s="1">
        <v>3</v>
      </c>
      <c r="P25" s="1">
        <v>24000</v>
      </c>
      <c r="Q25" s="1">
        <v>3</v>
      </c>
      <c r="R25" s="1">
        <v>24000</v>
      </c>
      <c r="S25" s="1">
        <v>3</v>
      </c>
    </row>
    <row r="26" spans="1:19">
      <c r="A26" s="2" t="s">
        <v>60</v>
      </c>
      <c r="B26" s="2" t="s">
        <v>49</v>
      </c>
      <c r="C26" s="2" t="str" cm="1">
        <f t="array" ref="C26">_xlfn.SWITCH(B26,"力量","Strength","敏捷","Agility","智力","Intelligence","全才","Universal")</f>
        <v>Intelligence</v>
      </c>
      <c r="D26" s="2" t="s">
        <v>61</v>
      </c>
      <c r="E26" s="2" t="s">
        <v>9</v>
      </c>
      <c r="F26" s="3">
        <v>8600</v>
      </c>
      <c r="G26" s="3">
        <v>9</v>
      </c>
      <c r="H26" s="3">
        <v>8100</v>
      </c>
      <c r="I26" s="3">
        <v>8</v>
      </c>
      <c r="J26" s="3">
        <v>8100</v>
      </c>
      <c r="K26" s="3">
        <v>8</v>
      </c>
      <c r="L26" s="1">
        <v>7650</v>
      </c>
      <c r="M26" s="1">
        <v>8</v>
      </c>
      <c r="N26" s="1">
        <v>7200</v>
      </c>
      <c r="O26" s="1">
        <v>13</v>
      </c>
      <c r="P26" s="1">
        <v>6800</v>
      </c>
      <c r="Q26" s="1">
        <v>13</v>
      </c>
      <c r="R26" s="1">
        <v>6900</v>
      </c>
      <c r="S26" s="1">
        <v>12</v>
      </c>
    </row>
    <row r="27" spans="1:19">
      <c r="A27" s="2" t="s">
        <v>62</v>
      </c>
      <c r="B27" s="2" t="s">
        <v>49</v>
      </c>
      <c r="C27" s="2" t="str" cm="1">
        <f t="array" ref="C27">_xlfn.SWITCH(B27,"力量","Strength","敏捷","Agility","智力","Intelligence","全才","Universal")</f>
        <v>Intelligence</v>
      </c>
      <c r="D27" s="2" t="s">
        <v>63</v>
      </c>
      <c r="E27" s="2" t="s">
        <v>9</v>
      </c>
      <c r="F27" s="3">
        <v>17000</v>
      </c>
      <c r="G27" s="3">
        <v>7</v>
      </c>
      <c r="H27" s="3">
        <v>15000</v>
      </c>
      <c r="I27" s="3">
        <v>7</v>
      </c>
      <c r="J27" s="3">
        <v>15000</v>
      </c>
      <c r="K27" s="3">
        <v>8</v>
      </c>
      <c r="L27" s="1">
        <v>15000</v>
      </c>
      <c r="M27" s="1">
        <v>7</v>
      </c>
      <c r="N27" s="1">
        <v>17888</v>
      </c>
      <c r="O27" s="1">
        <v>6</v>
      </c>
      <c r="P27" s="1">
        <v>17888</v>
      </c>
      <c r="Q27" s="1">
        <v>6</v>
      </c>
      <c r="R27" s="1">
        <v>17888</v>
      </c>
      <c r="S27" s="1">
        <v>6</v>
      </c>
    </row>
    <row r="28" spans="1:19">
      <c r="A28" s="2" t="s">
        <v>64</v>
      </c>
      <c r="B28" s="2" t="s">
        <v>49</v>
      </c>
      <c r="C28" s="2" t="str" cm="1">
        <f t="array" ref="C28">_xlfn.SWITCH(B28,"力量","Strength","敏捷","Agility","智力","Intelligence","全才","Universal")</f>
        <v>Intelligence</v>
      </c>
      <c r="D28" s="2" t="s">
        <v>65</v>
      </c>
      <c r="E28" s="2" t="s">
        <v>42</v>
      </c>
      <c r="F28" s="3">
        <v>150000</v>
      </c>
      <c r="G28" s="3">
        <v>1</v>
      </c>
      <c r="H28" s="3">
        <v>150000</v>
      </c>
      <c r="I28" s="3">
        <v>1</v>
      </c>
      <c r="J28" s="3">
        <v>150000</v>
      </c>
      <c r="K28" s="3">
        <v>1</v>
      </c>
      <c r="L28" s="1">
        <v>150000</v>
      </c>
      <c r="M28" s="1">
        <v>1</v>
      </c>
      <c r="N28" s="1">
        <v>150000</v>
      </c>
      <c r="O28" s="1">
        <v>1</v>
      </c>
      <c r="P28" s="1">
        <v>150000</v>
      </c>
      <c r="Q28" s="1">
        <v>1</v>
      </c>
      <c r="R28" s="1">
        <v>150000</v>
      </c>
      <c r="S28" s="1">
        <v>1</v>
      </c>
    </row>
    <row r="29" spans="1:19">
      <c r="A29" s="2" t="s">
        <v>64</v>
      </c>
      <c r="B29" s="2" t="s">
        <v>49</v>
      </c>
      <c r="C29" s="2" t="str" cm="1">
        <f t="array" ref="C29">_xlfn.SWITCH(B29,"力量","Strength","敏捷","Agility","智力","Intelligence","全才","Universal")</f>
        <v>Intelligence</v>
      </c>
      <c r="D29" s="2" t="s">
        <v>65</v>
      </c>
      <c r="E29" s="2" t="s">
        <v>57</v>
      </c>
      <c r="F29" s="3">
        <v>18988</v>
      </c>
      <c r="G29" s="3">
        <v>6</v>
      </c>
      <c r="H29" s="3">
        <v>17999</v>
      </c>
      <c r="I29" s="3">
        <v>7</v>
      </c>
      <c r="J29" s="3">
        <v>17888</v>
      </c>
      <c r="K29" s="3">
        <v>6</v>
      </c>
      <c r="L29" s="1">
        <v>19999</v>
      </c>
      <c r="M29" s="1">
        <v>3</v>
      </c>
      <c r="N29" s="1">
        <v>20999</v>
      </c>
      <c r="O29" s="1">
        <v>3</v>
      </c>
      <c r="P29" s="1">
        <v>20800</v>
      </c>
      <c r="Q29" s="1">
        <v>4</v>
      </c>
      <c r="R29" s="1">
        <v>20000</v>
      </c>
      <c r="S29" s="1">
        <v>5</v>
      </c>
    </row>
    <row r="30" spans="1:19">
      <c r="A30" s="2" t="s">
        <v>66</v>
      </c>
      <c r="B30" s="2" t="s">
        <v>67</v>
      </c>
      <c r="C30" s="2" t="str" cm="1">
        <f t="array" ref="C30">_xlfn.SWITCH(B30,"力量","Strength","敏捷","Agility","智力","Intelligence","全才","Universal")</f>
        <v>Universal</v>
      </c>
      <c r="D30" s="2" t="s">
        <v>68</v>
      </c>
      <c r="E30" s="2" t="s">
        <v>9</v>
      </c>
      <c r="F30" s="3">
        <v>1698</v>
      </c>
      <c r="G30" s="3">
        <v>40</v>
      </c>
      <c r="H30" s="3">
        <v>1690</v>
      </c>
      <c r="I30" s="3">
        <v>41</v>
      </c>
      <c r="J30" s="3">
        <v>1689</v>
      </c>
      <c r="K30" s="3">
        <v>42</v>
      </c>
      <c r="L30" s="1">
        <v>1550</v>
      </c>
      <c r="M30" s="1">
        <v>47</v>
      </c>
      <c r="N30" s="1">
        <v>1567</v>
      </c>
      <c r="O30" s="1">
        <v>50</v>
      </c>
      <c r="P30" s="1">
        <v>1549</v>
      </c>
      <c r="Q30" s="1">
        <v>48</v>
      </c>
      <c r="R30" s="1">
        <v>1490</v>
      </c>
      <c r="S30" s="1">
        <v>58</v>
      </c>
    </row>
    <row r="31" spans="1:19">
      <c r="A31" s="2" t="s">
        <v>69</v>
      </c>
      <c r="B31" s="2" t="s">
        <v>67</v>
      </c>
      <c r="C31" s="2" t="str" cm="1">
        <f t="array" ref="C31">_xlfn.SWITCH(B31,"力量","Strength","敏捷","Agility","智力","Intelligence","全才","Universal")</f>
        <v>Universal</v>
      </c>
      <c r="D31" s="2" t="s">
        <v>70</v>
      </c>
      <c r="E31" s="2" t="s">
        <v>32</v>
      </c>
      <c r="F31" s="3">
        <v>4700</v>
      </c>
      <c r="G31" s="3">
        <v>14</v>
      </c>
      <c r="H31" s="3">
        <v>4666</v>
      </c>
      <c r="I31" s="3">
        <v>14</v>
      </c>
      <c r="J31" s="3">
        <v>4280</v>
      </c>
      <c r="K31" s="3">
        <v>15</v>
      </c>
      <c r="L31" s="1">
        <v>4280</v>
      </c>
      <c r="M31" s="1">
        <v>13</v>
      </c>
      <c r="N31" s="1">
        <v>4200</v>
      </c>
      <c r="O31" s="1">
        <v>14</v>
      </c>
      <c r="P31" s="1">
        <v>4666</v>
      </c>
      <c r="Q31" s="1">
        <v>11</v>
      </c>
      <c r="R31" s="1">
        <v>4340</v>
      </c>
      <c r="S31" s="1">
        <v>15</v>
      </c>
    </row>
    <row r="32" spans="1:19">
      <c r="A32" s="2" t="s">
        <v>71</v>
      </c>
      <c r="B32" s="2" t="s">
        <v>67</v>
      </c>
      <c r="C32" s="2" t="str" cm="1">
        <f t="array" ref="C32">_xlfn.SWITCH(B32,"力量","Strength","敏捷","Agility","智力","Intelligence","全才","Universal")</f>
        <v>Universal</v>
      </c>
      <c r="D32" s="2" t="s">
        <v>72</v>
      </c>
      <c r="E32" s="2" t="s">
        <v>35</v>
      </c>
      <c r="F32" s="3">
        <v>12000</v>
      </c>
      <c r="G32" s="3">
        <v>3</v>
      </c>
      <c r="H32" s="3">
        <v>12500</v>
      </c>
      <c r="I32" s="3">
        <v>4</v>
      </c>
      <c r="J32" s="3">
        <v>11888</v>
      </c>
      <c r="K32" s="3">
        <v>4</v>
      </c>
      <c r="L32" s="1">
        <v>11000</v>
      </c>
      <c r="M32" s="1">
        <v>4</v>
      </c>
      <c r="N32" s="1">
        <v>12388</v>
      </c>
      <c r="O32" s="1">
        <v>5</v>
      </c>
      <c r="P32" s="1">
        <v>12000</v>
      </c>
      <c r="Q32" s="1">
        <v>5</v>
      </c>
      <c r="R32" s="1">
        <v>11500</v>
      </c>
      <c r="S32" s="1">
        <v>6</v>
      </c>
    </row>
    <row r="33" spans="1:19">
      <c r="A33" s="2" t="s">
        <v>73</v>
      </c>
      <c r="B33" s="2" t="s">
        <v>67</v>
      </c>
      <c r="C33" s="2" t="str" cm="1">
        <f t="array" ref="C33">_xlfn.SWITCH(B33,"力量","Strength","敏捷","Agility","智力","Intelligence","全才","Universal")</f>
        <v>Universal</v>
      </c>
      <c r="D33" s="2" t="s">
        <v>74</v>
      </c>
      <c r="E33" s="2" t="s">
        <v>9</v>
      </c>
      <c r="F33" s="3">
        <v>2590</v>
      </c>
      <c r="G33" s="3">
        <v>19</v>
      </c>
      <c r="H33" s="3">
        <v>2566</v>
      </c>
      <c r="I33" s="3">
        <v>22</v>
      </c>
      <c r="J33" s="3">
        <v>2600</v>
      </c>
      <c r="K33" s="3">
        <v>23</v>
      </c>
      <c r="L33" s="1">
        <v>2799</v>
      </c>
      <c r="M33" s="1">
        <v>23</v>
      </c>
      <c r="N33" s="1">
        <v>2699</v>
      </c>
      <c r="O33" s="1">
        <v>25</v>
      </c>
      <c r="P33" s="1">
        <v>2650</v>
      </c>
      <c r="Q33" s="1">
        <v>23</v>
      </c>
      <c r="R33" s="1">
        <v>2588</v>
      </c>
      <c r="S33" s="1">
        <v>24</v>
      </c>
    </row>
    <row r="34" spans="1:19">
      <c r="A34" s="2" t="s">
        <v>73</v>
      </c>
      <c r="B34" s="2" t="s">
        <v>67</v>
      </c>
      <c r="C34" s="2" t="str" cm="1">
        <f t="array" ref="C34">_xlfn.SWITCH(B34,"力量","Strength","敏捷","Agility","智力","Intelligence","全才","Universal")</f>
        <v>Universal</v>
      </c>
      <c r="D34" s="2" t="s">
        <v>74</v>
      </c>
      <c r="E34" s="2" t="s">
        <v>35</v>
      </c>
      <c r="F34" s="3">
        <v>13000</v>
      </c>
      <c r="G34" s="3">
        <v>6</v>
      </c>
      <c r="H34" s="3">
        <v>10400</v>
      </c>
      <c r="I34" s="3">
        <v>6</v>
      </c>
      <c r="J34" s="3">
        <v>12999</v>
      </c>
      <c r="K34" s="3">
        <v>7</v>
      </c>
      <c r="L34" s="1">
        <v>12999</v>
      </c>
      <c r="M34" s="1">
        <v>6</v>
      </c>
      <c r="N34" s="1">
        <v>14000</v>
      </c>
      <c r="O34" s="1">
        <v>7</v>
      </c>
      <c r="P34" s="1">
        <v>13999</v>
      </c>
      <c r="Q34" s="1">
        <v>7</v>
      </c>
      <c r="R34" s="1">
        <v>13999</v>
      </c>
      <c r="S34" s="1">
        <v>6</v>
      </c>
    </row>
    <row r="35" spans="1:19">
      <c r="A35" s="2" t="s">
        <v>75</v>
      </c>
      <c r="B35" s="2" t="s">
        <v>67</v>
      </c>
      <c r="C35" s="2" t="str" cm="1">
        <f t="array" ref="C35">_xlfn.SWITCH(B35,"力量","Strength","敏捷","Agility","智力","Intelligence","全才","Universal")</f>
        <v>Universal</v>
      </c>
      <c r="D35" s="2" t="s">
        <v>76</v>
      </c>
      <c r="E35" s="2" t="s">
        <v>35</v>
      </c>
      <c r="F35" s="1">
        <v>24000</v>
      </c>
      <c r="G35" s="1">
        <v>3</v>
      </c>
      <c r="H35" s="1">
        <v>24500</v>
      </c>
      <c r="I35" s="1">
        <v>3</v>
      </c>
      <c r="J35" s="3">
        <v>24500</v>
      </c>
      <c r="K35" s="3">
        <v>3</v>
      </c>
      <c r="L35" s="1">
        <v>22222</v>
      </c>
      <c r="M35" s="1">
        <v>3</v>
      </c>
      <c r="N35" s="1">
        <v>23888</v>
      </c>
      <c r="O35" s="1">
        <v>3</v>
      </c>
      <c r="P35" s="1">
        <v>19999</v>
      </c>
      <c r="Q35" s="1">
        <v>3</v>
      </c>
      <c r="R35" s="1">
        <v>23000</v>
      </c>
      <c r="S35" s="1">
        <v>3</v>
      </c>
    </row>
    <row r="36" spans="1:19">
      <c r="A36" s="2" t="s">
        <v>77</v>
      </c>
      <c r="B36" s="2" t="s">
        <v>7</v>
      </c>
      <c r="C36" s="2" t="str" cm="1">
        <f t="array" ref="C36">_xlfn.SWITCH(B36,"力量","Strength","敏捷","Agility","智力","Intelligence","全才","Universal")</f>
        <v>Strength</v>
      </c>
      <c r="D36" s="2" t="s">
        <v>78</v>
      </c>
      <c r="E36" s="2" t="s">
        <v>9</v>
      </c>
      <c r="F36" s="1">
        <v>25000</v>
      </c>
      <c r="G36" s="1">
        <v>4</v>
      </c>
      <c r="H36" s="1">
        <v>25000</v>
      </c>
      <c r="I36" s="1">
        <v>4</v>
      </c>
      <c r="J36" s="3">
        <v>32500</v>
      </c>
      <c r="K36" s="3">
        <v>2</v>
      </c>
      <c r="L36" s="1">
        <v>32500</v>
      </c>
      <c r="M36" s="1">
        <v>3</v>
      </c>
      <c r="N36" s="1">
        <v>32500</v>
      </c>
      <c r="O36" s="1">
        <v>3</v>
      </c>
      <c r="P36" s="1">
        <v>32500</v>
      </c>
      <c r="Q36" s="1">
        <v>3</v>
      </c>
      <c r="R36" s="1">
        <v>32500</v>
      </c>
      <c r="S36" s="1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价格数据库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华鑫慧Swift</cp:lastModifiedBy>
  <dcterms:created xsi:type="dcterms:W3CDTF">2023-05-12T11:15:00Z</dcterms:created>
  <dcterms:modified xsi:type="dcterms:W3CDTF">2026-02-07T18:01:20Z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1F9DF68246404A8DAB3AAFF224E32C4A_13</vt:lpwstr>
  </property>
  <property fmtid="{D5CDD505-2E9C-101B-9397-08002B2CF9AE}" pid="4" name="CalculationRule">
    <vt:i4>0</vt:i4>
  </property>
</Properties>
</file>